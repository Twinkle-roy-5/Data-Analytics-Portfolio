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OneDrive\Documents\PROJECT\excel\"/>
    </mc:Choice>
  </mc:AlternateContent>
  <bookViews>
    <workbookView xWindow="0" yWindow="0" windowWidth="19200" windowHeight="7020" activeTab="4"/>
  </bookViews>
  <sheets>
    <sheet name="Sales_Data" sheetId="1" r:id="rId1"/>
    <sheet name="Targets" sheetId="2" r:id="rId2"/>
    <sheet name="Incentive" sheetId="3" r:id="rId3"/>
    <sheet name="Incentive summary" sheetId="4" r:id="rId4"/>
    <sheet name="dashboard" sheetId="5" r:id="rId5"/>
    <sheet name="Read me" sheetId="6" r:id="rId6"/>
  </sheets>
  <definedNames>
    <definedName name="_xlnm.Print_Area" localSheetId="4">dashboard!$A$1:$R$36</definedName>
    <definedName name="Slicer_Remarks">#N/A</definedName>
    <definedName name="Slicer_Year_Month">#N/A</definedName>
  </definedNames>
  <calcPr calcId="152511"/>
  <pivotCaches>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4" i="5" l="1"/>
  <c r="D4" i="5"/>
  <c r="E2" i="4"/>
  <c r="F4" i="5" l="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2" i="4"/>
  <c r="J2" i="4" s="1"/>
  <c r="D3" i="4"/>
  <c r="D4" i="4"/>
  <c r="D5" i="4"/>
  <c r="D6" i="4"/>
  <c r="D7" i="4"/>
  <c r="D8" i="4"/>
  <c r="D9" i="4"/>
  <c r="D10" i="4"/>
  <c r="D11" i="4"/>
  <c r="D12" i="4"/>
  <c r="D13" i="4"/>
  <c r="D15"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2" i="4"/>
  <c r="G2" i="4" l="1"/>
  <c r="A4" i="5" s="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2" i="4"/>
</calcChain>
</file>

<file path=xl/sharedStrings.xml><?xml version="1.0" encoding="utf-8"?>
<sst xmlns="http://schemas.openxmlformats.org/spreadsheetml/2006/main" count="1413" uniqueCount="254">
  <si>
    <t>Order ID</t>
  </si>
  <si>
    <t>Amount</t>
  </si>
  <si>
    <t>Profit</t>
  </si>
  <si>
    <t>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</si>
  <si>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</si>
  <si>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</si>
  <si>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</si>
  <si>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</si>
  <si>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</si>
  <si>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</si>
  <si>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</si>
  <si>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</si>
  <si>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</si>
  <si>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</si>
  <si>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</si>
  <si>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</si>
  <si>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</si>
  <si>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</si>
  <si>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</si>
  <si>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</si>
  <si>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</si>
  <si>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</si>
  <si>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</si>
  <si>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</si>
  <si>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</si>
  <si>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</si>
  <si>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</si>
  <si>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</si>
  <si>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</si>
  <si>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</si>
  <si>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</si>
  <si>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</si>
  <si>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</si>
  <si>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</si>
  <si>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</si>
  <si>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</si>
  <si>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</si>
  <si>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</si>
  <si>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</si>
  <si>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</si>
  <si>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</si>
  <si>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</si>
  <si>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</si>
  <si>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</si>
  <si>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</si>
  <si>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</si>
  <si>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</si>
  <si>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</si>
  <si>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</si>
  <si>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</si>
  <si>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</si>
  <si>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</si>
  <si>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</si>
  <si>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</si>
  <si>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</si>
  <si>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</si>
  <si>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</si>
  <si>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</si>
  <si>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</si>
  <si>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</si>
  <si>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</si>
  <si>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</si>
  <si>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</si>
  <si>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</si>
  <si>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</si>
  <si>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</si>
  <si>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</si>
  <si>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</si>
  <si>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</si>
  <si>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</si>
  <si>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</si>
  <si>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</si>
  <si>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</si>
  <si>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</si>
  <si>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</si>
  <si>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</si>
  <si>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</si>
  <si>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</si>
  <si>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</si>
  <si>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</si>
  <si>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</si>
  <si>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</si>
  <si>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</si>
  <si>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</si>
  <si>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</si>
  <si>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</si>
  <si>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</si>
  <si>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</si>
  <si>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</si>
  <si>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</si>
  <si>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</si>
  <si>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</si>
  <si>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</si>
  <si>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</si>
  <si>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</si>
  <si>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</si>
  <si>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</si>
  <si>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</si>
  <si>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</si>
  <si>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</si>
  <si>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</si>
  <si>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</si>
  <si>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</si>
  <si>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</si>
  <si>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</si>
  <si>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</si>
  <si>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</si>
  <si>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</si>
  <si>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</si>
  <si>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</si>
  <si>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</si>
  <si>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</si>
  <si>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</si>
  <si>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</si>
  <si>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</si>
  <si>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</si>
  <si>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</si>
  <si>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</si>
  <si>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</si>
  <si>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</si>
  <si>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</si>
  <si>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</si>
  <si>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</si>
  <si>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</si>
  <si>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</si>
  <si>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</si>
  <si>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</si>
  <si>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</si>
  <si>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</si>
  <si>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</si>
  <si>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</si>
  <si>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</si>
  <si>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</si>
  <si>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</si>
  <si>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</si>
  <si>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</si>
  <si>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</si>
  <si>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</si>
  <si>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</si>
  <si>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</si>
  <si>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</si>
  <si>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</si>
  <si>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</si>
  <si>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</si>
  <si>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</si>
  <si>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</si>
  <si>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</si>
  <si>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</si>
  <si>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</si>
  <si>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</si>
  <si>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</si>
  <si>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</si>
  <si>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</si>
  <si>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</si>
  <si>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</si>
  <si>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</si>
  <si>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</si>
  <si>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</si>
  <si>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</si>
  <si>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</si>
  <si>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</si>
  <si>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</si>
  <si>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</si>
  <si>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</si>
  <si>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</si>
  <si>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</si>
  <si>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</si>
  <si>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</si>
  <si>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</si>
  <si>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</si>
  <si>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</si>
  <si>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</si>
  <si>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</si>
  <si>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</si>
  <si>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</si>
  <si>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</si>
  <si>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</si>
  <si>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</si>
  <si>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</si>
  <si>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</si>
  <si>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</si>
  <si>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Aarav Sharma</t>
  </si>
  <si>
    <t>Aditi Verma</t>
  </si>
  <si>
    <t>Rohan Gupta</t>
  </si>
  <si>
    <t>Sneha Singh</t>
  </si>
  <si>
    <t>Nisha Kapoor</t>
  </si>
  <si>
    <t>Aman Tiwari</t>
  </si>
  <si>
    <t>Kavya Nair</t>
  </si>
  <si>
    <t>Mohit Saxena</t>
  </si>
  <si>
    <t>Priya Mishra</t>
  </si>
  <si>
    <t>Aditya Rao</t>
  </si>
  <si>
    <t>Pallavi Kulkarni</t>
  </si>
  <si>
    <t>Saurabh Tripathi</t>
  </si>
  <si>
    <t>Meenal Joshi</t>
  </si>
  <si>
    <t>Deepak Sinha</t>
  </si>
  <si>
    <t>Tanvi Deshpande</t>
  </si>
  <si>
    <t>Ashish Rawat</t>
  </si>
  <si>
    <t>Riya Chakraborty</t>
  </si>
  <si>
    <t>Sunil Kumar</t>
  </si>
  <si>
    <t>Alka Srivastava</t>
  </si>
  <si>
    <t>Harsh Vardhan</t>
  </si>
  <si>
    <t>Preeti Malhotra</t>
  </si>
  <si>
    <t>Gaurav Singhal</t>
  </si>
  <si>
    <t>Swati Thakur</t>
  </si>
  <si>
    <t>SALES PERSON</t>
  </si>
  <si>
    <t>Sub category</t>
  </si>
  <si>
    <t>Quatity</t>
  </si>
  <si>
    <t xml:space="preserve">TARGET </t>
  </si>
  <si>
    <t>Year month</t>
  </si>
  <si>
    <t>Min %</t>
  </si>
  <si>
    <t>Max %</t>
  </si>
  <si>
    <t>Incentive %</t>
  </si>
  <si>
    <t>Salesperson</t>
  </si>
  <si>
    <t>Total Sales</t>
  </si>
  <si>
    <t>Target</t>
  </si>
  <si>
    <t>Achievement %</t>
  </si>
  <si>
    <t>Incentive Amount</t>
  </si>
  <si>
    <t>Data</t>
  </si>
  <si>
    <t>Incentive eligibility</t>
  </si>
  <si>
    <t>Performance Band</t>
  </si>
  <si>
    <t>Remarks</t>
  </si>
  <si>
    <t>TOP PERFOMER</t>
  </si>
  <si>
    <t>Average achievement</t>
  </si>
  <si>
    <t>Row Labels</t>
  </si>
  <si>
    <t>Sum of Incentive Amount</t>
  </si>
  <si>
    <t>sales person</t>
  </si>
  <si>
    <t>Sum of Achievement %</t>
  </si>
  <si>
    <t>TOTAL INCENTIVE PAID</t>
  </si>
  <si>
    <t>README – Sales Analysis &amp; Incentive Project</t>
  </si>
  <si>
    <t>Project Objective</t>
  </si>
  <si>
    <t>The objective of this Excel project is to analyze sales data, track performance against defined targets, and automatically calculate incentives to support business decisions.</t>
  </si>
  <si>
    <t>Dataset Overview</t>
  </si>
  <si>
    <t>• Order-level sales data (Order ID, Date, Sales, Profit, Quantity)</t>
  </si>
  <si>
    <t>• Targets and incentive slabs maintained in separate sheets</t>
  </si>
  <si>
    <t>• Dynamic formulas ensure automatic updates</t>
  </si>
  <si>
    <t>Key Sheets Used</t>
  </si>
  <si>
    <t>DATA – Raw sales data</t>
  </si>
  <si>
    <t>TARGETS – Sales targets and incentive %</t>
  </si>
  <si>
    <t>INCENTIVES – Calculated incentives</t>
  </si>
  <si>
    <t>SUMMARY – Final performance view</t>
  </si>
  <si>
    <t>HOW_IT_WORKS – Process explanation</t>
  </si>
  <si>
    <t>README – Project documentation</t>
  </si>
  <si>
    <t>Key Formulas Used</t>
  </si>
  <si>
    <t>SUM / SUMIFS – Sales &amp; profit calculation</t>
  </si>
  <si>
    <t>IF – Target achievement check</t>
  </si>
  <si>
    <t>VLOOKUP / XLOOKUP / INDEX-MATCH – Fetch targets</t>
  </si>
  <si>
    <t>Percentage formulas – Incentive calculation</t>
  </si>
  <si>
    <t>Business Outcome</t>
  </si>
  <si>
    <t>• Automated incentive calculation</t>
  </si>
  <si>
    <t>• Reduced manual effort &amp; errors</t>
  </si>
  <si>
    <t>• Clear target vs actual visibility</t>
  </si>
  <si>
    <t>• Better management decisions</t>
  </si>
  <si>
    <t>Total salesperson</t>
  </si>
  <si>
    <t>Sales-Incentive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</si>
</sst>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 #,##0.00"/>
    <numFmt numFmtId="165" formatCode="0.0%"/>
    <numFmt numFmtId="166" formatCode="&quot;₹&quot;\ #,##0.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6"/>
      <color theme="0"/>
      <name val="Calibri"/>
      <family val="2"/>
      <scheme val="minor"/>
    </font>
    <font>
      <b/>
      <sz val="26"/>
      <color theme="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bgColor indexed="64"/>
      </patternFill>
    </fill>
    <fill>
      <patternFill patternType="solid">
        <fgColor theme="9"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9">
    <xf numFmtId="0" fontId="0" fillId="0" borderId="0" xfId="0"/>
    <xf numFmtId="14" fontId="0" fillId="0" borderId="0" xfId="0" applyNumberFormat="1"/>
    <xf numFmtId="164" fontId="0" fillId="0" borderId="0" xfId="0" applyNumberFormat="1"/>
    <xf numFmtId="0" fontId="16" fillId="0" borderId="0" xfId="0" applyFont="1" applyAlignment="1">
      <alignment vertical="center" wrapText="1"/>
    </xf>
    <xf numFmtId="0" fontId="16" fillId="0" borderId="0" xfId="0" applyFont="1"/>
    <xf numFmtId="165" fontId="16" fillId="0" borderId="0" xfId="0" applyNumberFormat="1" applyFont="1" applyAlignment="1">
      <alignment vertical="center" wrapText="1"/>
    </xf>
    <xf numFmtId="165" fontId="0" fillId="0" borderId="0" xfId="0" applyNumberFormat="1"/>
    <xf numFmtId="164" fontId="16" fillId="0" borderId="0" xfId="0" applyNumberFormat="1" applyFont="1"/>
    <xf numFmtId="0" fontId="0" fillId="0" borderId="0" xfId="0" applyBorder="1" applyAlignment="1">
      <alignment vertical="center" wrapText="1"/>
    </xf>
    <xf numFmtId="0" fontId="0" fillId="33" borderId="0" xfId="0" applyFill="1"/>
    <xf numFmtId="0" fontId="18" fillId="33" borderId="0" xfId="0" applyFont="1" applyFill="1" applyAlignment="1">
      <alignment horizontal="center" vertical="center"/>
    </xf>
    <xf numFmtId="165" fontId="19" fillId="33" borderId="0" xfId="0" applyNumberFormat="1" applyFont="1" applyFill="1" applyAlignment="1">
      <alignment horizontal="center" vertical="center"/>
    </xf>
    <xf numFmtId="0" fontId="18" fillId="35" borderId="18" xfId="0" applyFont="1" applyFill="1" applyBorder="1" applyAlignment="1">
      <alignment horizontal="center"/>
    </xf>
    <xf numFmtId="0" fontId="19" fillId="35" borderId="10" xfId="0" applyFont="1" applyFill="1" applyBorder="1"/>
    <xf numFmtId="0" fontId="0" fillId="35" borderId="12" xfId="0" applyFill="1" applyBorder="1"/>
    <xf numFmtId="0" fontId="0" fillId="35" borderId="14" xfId="0" applyFill="1" applyBorder="1"/>
    <xf numFmtId="0" fontId="0" fillId="35" borderId="17" xfId="0" applyFill="1" applyBorder="1"/>
    <xf numFmtId="0" fontId="0" fillId="34" borderId="11" xfId="0" applyFill="1" applyBorder="1"/>
    <xf numFmtId="0" fontId="0" fillId="34" borderId="12" xfId="0" applyFill="1" applyBorder="1"/>
    <xf numFmtId="0" fontId="0" fillId="34" borderId="0" xfId="0" applyFill="1" applyBorder="1"/>
    <xf numFmtId="0" fontId="0" fillId="34" borderId="14" xfId="0" applyFill="1" applyBorder="1"/>
    <xf numFmtId="166" fontId="18" fillId="34" borderId="15" xfId="0" applyNumberFormat="1" applyFont="1" applyFill="1" applyBorder="1" applyAlignment="1">
      <alignment horizontal="center" vertical="center"/>
    </xf>
    <xf numFmtId="166" fontId="18" fillId="34" borderId="16" xfId="0" applyNumberFormat="1" applyFont="1" applyFill="1" applyBorder="1" applyAlignment="1">
      <alignment horizontal="center" vertical="center"/>
    </xf>
    <xf numFmtId="0" fontId="0" fillId="34" borderId="16" xfId="0" applyFill="1" applyBorder="1"/>
    <xf numFmtId="0" fontId="18" fillId="34" borderId="16" xfId="0" applyFont="1" applyFill="1" applyBorder="1" applyAlignment="1">
      <alignment horizontal="center" vertical="center"/>
    </xf>
    <xf numFmtId="165" fontId="19" fillId="34" borderId="16" xfId="0" applyNumberFormat="1" applyFont="1" applyFill="1" applyBorder="1" applyAlignment="1">
      <alignment horizontal="center" vertical="center"/>
    </xf>
    <xf numFmtId="0" fontId="0" fillId="34" borderId="17" xfId="0" applyFill="1" applyBorder="1"/>
    <xf numFmtId="0" fontId="16" fillId="0" borderId="0" xfId="0" applyFont="1" applyBorder="1" applyAlignment="1">
      <alignment horizontal="center" vertical="center" wrapText="1"/>
    </xf>
    <xf numFmtId="0" fontId="0" fillId="0" borderId="0" xfId="0" applyAlignment="1"/>
    <xf numFmtId="0" fontId="0" fillId="0" borderId="0" xfId="0" applyFont="1"/>
    <xf numFmtId="0" fontId="13" fillId="36" borderId="0" xfId="0" applyFont="1" applyFill="1"/>
    <xf numFmtId="0" fontId="0" fillId="0" borderId="0" xfId="0" applyAlignment="1">
      <alignment wrapText="1"/>
    </xf>
    <xf numFmtId="0" fontId="17" fillId="37" borderId="0" xfId="0" applyFont="1" applyFill="1" applyAlignment="1"/>
    <xf numFmtId="0" fontId="0" fillId="38" borderId="0" xfId="0" applyFill="1"/>
    <xf numFmtId="0" fontId="16" fillId="38" borderId="0" xfId="0" applyFont="1" applyFill="1"/>
    <xf numFmtId="0" fontId="0" fillId="38" borderId="0" xfId="0" applyFill="1" applyAlignment="1">
      <alignment vertical="top" wrapText="1"/>
    </xf>
    <xf numFmtId="0" fontId="0" fillId="38" borderId="0" xfId="0" applyFill="1" applyAlignment="1">
      <alignment wrapText="1"/>
    </xf>
    <xf numFmtId="0" fontId="0" fillId="40" borderId="21" xfId="0" applyFill="1" applyBorder="1"/>
    <xf numFmtId="0" fontId="0" fillId="40" borderId="18" xfId="0" applyFill="1" applyBorder="1" applyAlignment="1">
      <alignment horizontal="left"/>
    </xf>
    <xf numFmtId="0" fontId="0" fillId="40" borderId="18" xfId="0" applyNumberFormat="1" applyFill="1" applyBorder="1"/>
    <xf numFmtId="0" fontId="0" fillId="40" borderId="19" xfId="0" applyFill="1" applyBorder="1" applyAlignment="1">
      <alignment horizontal="left"/>
    </xf>
    <xf numFmtId="0" fontId="0" fillId="40" borderId="19" xfId="0" applyNumberFormat="1" applyFill="1" applyBorder="1"/>
    <xf numFmtId="0" fontId="0" fillId="40" borderId="20" xfId="0" applyFill="1" applyBorder="1" applyAlignment="1">
      <alignment horizontal="left"/>
    </xf>
    <xf numFmtId="0" fontId="0" fillId="40" borderId="20" xfId="0" applyNumberFormat="1" applyFill="1" applyBorder="1"/>
    <xf numFmtId="0" fontId="0" fillId="40" borderId="14" xfId="0" applyNumberFormat="1" applyFill="1" applyBorder="1"/>
    <xf numFmtId="0" fontId="0" fillId="40" borderId="17" xfId="0" applyNumberFormat="1" applyFill="1" applyBorder="1"/>
    <xf numFmtId="0" fontId="0" fillId="40" borderId="22" xfId="0" applyFill="1" applyBorder="1"/>
    <xf numFmtId="0" fontId="0" fillId="40" borderId="23" xfId="0" applyFill="1" applyBorder="1"/>
    <xf numFmtId="0" fontId="0" fillId="40" borderId="12" xfId="0" applyNumberFormat="1" applyFill="1" applyBorder="1"/>
    <xf numFmtId="10" fontId="0" fillId="0" borderId="0" xfId="0" applyNumberFormat="1"/>
    <xf numFmtId="10" fontId="0" fillId="40" borderId="10" xfId="0" applyNumberFormat="1" applyFill="1" applyBorder="1"/>
    <xf numFmtId="10" fontId="0" fillId="40" borderId="13" xfId="0" applyNumberFormat="1" applyFill="1" applyBorder="1"/>
    <xf numFmtId="10" fontId="0" fillId="40" borderId="15" xfId="0" applyNumberFormat="1" applyFill="1" applyBorder="1"/>
    <xf numFmtId="0" fontId="0" fillId="40" borderId="21" xfId="0" pivotButton="1" applyFill="1" applyBorder="1"/>
    <xf numFmtId="166" fontId="18" fillId="35" borderId="13" xfId="0" applyNumberFormat="1" applyFont="1" applyFill="1" applyBorder="1" applyAlignment="1">
      <alignment horizontal="center" vertical="center"/>
    </xf>
    <xf numFmtId="166" fontId="18" fillId="35" borderId="14" xfId="0" applyNumberFormat="1" applyFont="1" applyFill="1" applyBorder="1" applyAlignment="1">
      <alignment horizontal="center" vertical="center"/>
    </xf>
    <xf numFmtId="166" fontId="18" fillId="35" borderId="15" xfId="0" applyNumberFormat="1" applyFont="1" applyFill="1" applyBorder="1" applyAlignment="1">
      <alignment horizontal="center" vertical="center"/>
    </xf>
    <xf numFmtId="166" fontId="18" fillId="35" borderId="17" xfId="0" applyNumberFormat="1" applyFont="1" applyFill="1" applyBorder="1" applyAlignment="1">
      <alignment horizontal="center" vertical="center"/>
    </xf>
    <xf numFmtId="0" fontId="18" fillId="35" borderId="10" xfId="0" applyFont="1" applyFill="1" applyBorder="1" applyAlignment="1">
      <alignment horizontal="center"/>
    </xf>
    <xf numFmtId="0" fontId="18" fillId="35" borderId="12" xfId="0" applyFont="1" applyFill="1" applyBorder="1" applyAlignment="1">
      <alignment horizontal="center"/>
    </xf>
    <xf numFmtId="0" fontId="18" fillId="35" borderId="19" xfId="0" applyFont="1" applyFill="1" applyBorder="1" applyAlignment="1">
      <alignment horizontal="center" vertical="center"/>
    </xf>
    <xf numFmtId="0" fontId="18" fillId="35" borderId="20" xfId="0" applyFont="1" applyFill="1" applyBorder="1" applyAlignment="1">
      <alignment horizontal="center" vertical="center"/>
    </xf>
    <xf numFmtId="165" fontId="19" fillId="35" borderId="13" xfId="0" applyNumberFormat="1" applyFont="1" applyFill="1" applyBorder="1" applyAlignment="1">
      <alignment horizontal="center" vertical="center"/>
    </xf>
    <xf numFmtId="165" fontId="19" fillId="35" borderId="15" xfId="0" applyNumberFormat="1" applyFont="1" applyFill="1" applyBorder="1" applyAlignment="1">
      <alignment horizontal="center" vertical="center"/>
    </xf>
    <xf numFmtId="0" fontId="20" fillId="39" borderId="0" xfId="0" applyFont="1" applyFill="1" applyAlignment="1">
      <alignment horizontal="center"/>
    </xf>
    <xf numFmtId="0" fontId="0" fillId="39" borderId="0" xfId="0" applyFill="1" applyAlignment="1">
      <alignment horizontal="center"/>
    </xf>
    <xf numFmtId="0" fontId="0" fillId="39" borderId="16" xfId="0" applyFill="1" applyBorder="1" applyAlignment="1">
      <alignment horizontal="center"/>
    </xf>
    <xf numFmtId="0" fontId="19" fillId="35" borderId="13" xfId="0" applyNumberFormat="1" applyFont="1" applyFill="1" applyBorder="1" applyAlignment="1">
      <alignment horizontal="center" vertical="center"/>
    </xf>
    <xf numFmtId="0" fontId="19" fillId="35" borderId="15"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numFmt numFmtId="14" formatCode="0.00%"/>
    </dxf>
    <dxf>
      <numFmt numFmtId="167" formatCode="0.000000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165" formatCode="0.0%"/>
    </dxf>
    <dxf>
      <numFmt numFmtId="165" formatCode="0.0%"/>
    </dxf>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outline="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b/>
        <i val="0"/>
        <strike val="0"/>
        <condense val="0"/>
        <extend val="0"/>
        <outline val="0"/>
        <shadow val="0"/>
        <u val="none"/>
        <vertAlign val="baseline"/>
        <sz val="11"/>
        <color theme="1"/>
        <name val="Calibri"/>
        <scheme val="minor"/>
      </font>
    </dxf>
    <dxf>
      <numFmt numFmtId="19" formatCode="dd/mm/yyyy"/>
    </dxf>
    <dxf>
      <numFmt numFmtId="164" formatCode="&quot;₹&quot;\ #,##0.00"/>
    </dxf>
    <dxf>
      <numFmt numFmtId="164" formatCode="&quot;₹&quot;\ #,##0.00"/>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[Sales_Incentive_Performance_Dashboard.xlsx]dashboard!incentive_salesperson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INCENTIVES BY SALESPERSON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364485374250308"/>
          <c:y val="0.24476633129192185"/>
          <c:w val="0.68470824281703557"/>
          <c:h val="0.29769685039370081"/>
        </c:manualLayout>
      </c:layout>
      <c:bar3DChart>
        <c:barDir val="col"/>
        <c:grouping val="stacked"/>
        <c:varyColors val="0"/>
        <c:ser>
          <c:idx val="0"/>
          <c:order val="0"/>
          <c:tx>
            <c:strRef>
              <c:f>dashboard!$B$9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dashboard!$A$10:$A$19</c:f>
              <c:strCache>
                <c:ptCount val="10"/>
                <c:pt idx="0">
                  <c:v>Aditya Rao</c:v>
                </c:pt>
                <c:pt idx="1">
                  <c:v>Aman Tiwari</c:v>
                </c:pt>
                <c:pt idx="2">
                  <c:v>Kavya Nair</c:v>
                </c:pt>
                <c:pt idx="3">
                  <c:v>Mohit Saxena</c:v>
                </c:pt>
                <c:pt idx="4">
                  <c:v>Nisha Kapoor</c:v>
                </c:pt>
                <c:pt idx="5">
                  <c:v>Preeti Malhotra</c:v>
                </c:pt>
                <c:pt idx="6">
                  <c:v>Priya Mishra</c:v>
                </c:pt>
                <c:pt idx="7">
                  <c:v>Riya Chakraborty</c:v>
                </c:pt>
                <c:pt idx="8">
                  <c:v>Sunil Kumar</c:v>
                </c:pt>
                <c:pt idx="9">
                  <c:v>Swati Thakur</c:v>
                </c:pt>
              </c:strCache>
            </c:strRef>
          </c:cat>
          <c:val>
            <c:numRef>
              <c:f>dashboard!$B$10:$B$19</c:f>
              <c:numCache>
                <c:formatCode>General</c:formatCode>
                <c:ptCount val="10"/>
                <c:pt idx="0">
                  <c:v>5610.15</c:v>
                </c:pt>
                <c:pt idx="1">
                  <c:v>3910.4</c:v>
                </c:pt>
                <c:pt idx="2">
                  <c:v>3253.95</c:v>
                </c:pt>
                <c:pt idx="3">
                  <c:v>2516.0500000000002</c:v>
                </c:pt>
                <c:pt idx="4">
                  <c:v>3414.75</c:v>
                </c:pt>
                <c:pt idx="5">
                  <c:v>3069.2999999999997</c:v>
                </c:pt>
                <c:pt idx="6">
                  <c:v>3946.7999999999997</c:v>
                </c:pt>
                <c:pt idx="7">
                  <c:v>2511.1499999999996</c:v>
                </c:pt>
                <c:pt idx="8">
                  <c:v>3643.9</c:v>
                </c:pt>
                <c:pt idx="9">
                  <c:v>2895.3</c:v>
                </c:pt>
              </c:numCache>
            </c:numRef>
          </c:val>
        </c:ser>
        <c:dLbls>
          <c:showLegendKey val="0"/>
          <c:showVal val="0"/>
          <c:showCatName val="0"/>
          <c:showSerName val="0"/>
          <c:showPercent val="0"/>
          <c:showBubbleSize val="0"/>
        </c:dLbls>
        <c:gapWidth val="150"/>
        <c:shape val="box"/>
        <c:axId val="-143596384"/>
        <c:axId val="-143592032"/>
        <c:axId val="0"/>
      </c:bar3DChart>
      <c:catAx>
        <c:axId val="-1435963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592032"/>
        <c:crosses val="autoZero"/>
        <c:auto val="1"/>
        <c:lblAlgn val="ctr"/>
        <c:lblOffset val="100"/>
        <c:noMultiLvlLbl val="0"/>
      </c:catAx>
      <c:valAx>
        <c:axId val="-143592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5963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[Sales_Incentive_Performance_Dashboard.xlsx]dashboard!Monthly_performance</c:name>
    <c:fmtId val="4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dashboard!$H$9</c:f>
              <c:strCache>
                <c:ptCount val="1"/>
                <c:pt idx="0">
                  <c:v>Sum of Achievement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dashboard!$G$10:$G$24</c:f>
              <c:strCache>
                <c:ptCount val="15"/>
                <c:pt idx="0">
                  <c:v>2020-10</c:v>
                </c:pt>
                <c:pt idx="1">
                  <c:v>2020-11</c:v>
                </c:pt>
                <c:pt idx="2">
                  <c:v>2021-04</c:v>
                </c:pt>
                <c:pt idx="3">
                  <c:v>2021-05</c:v>
                </c:pt>
                <c:pt idx="4">
                  <c:v>2021-06</c:v>
                </c:pt>
                <c:pt idx="5">
                  <c:v>2021-10</c:v>
                </c:pt>
                <c:pt idx="6">
                  <c:v>2022-01</c:v>
                </c:pt>
                <c:pt idx="7">
                  <c:v>2022-02</c:v>
                </c:pt>
                <c:pt idx="8">
                  <c:v>2022-10</c:v>
                </c:pt>
                <c:pt idx="9">
                  <c:v>2023-07</c:v>
                </c:pt>
                <c:pt idx="10">
                  <c:v>2023-08</c:v>
                </c:pt>
                <c:pt idx="11">
                  <c:v>2023-12</c:v>
                </c:pt>
                <c:pt idx="12">
                  <c:v>2024-05</c:v>
                </c:pt>
                <c:pt idx="13">
                  <c:v>2024-08</c:v>
                </c:pt>
                <c:pt idx="14">
                  <c:v>2024-12</c:v>
                </c:pt>
              </c:strCache>
            </c:strRef>
          </c:cat>
          <c:val>
            <c:numRef>
              <c:f>dashboard!$H$10:$H$24</c:f>
              <c:numCache>
                <c:formatCode>0.00%</c:formatCode>
                <c:ptCount val="15"/>
                <c:pt idx="0">
                  <c:v>5.1419642857142858</c:v>
                </c:pt>
                <c:pt idx="1">
                  <c:v>5.3414713769757372</c:v>
                </c:pt>
                <c:pt idx="2">
                  <c:v>4.9562310903774316</c:v>
                </c:pt>
                <c:pt idx="3">
                  <c:v>6.9551190476190481</c:v>
                </c:pt>
                <c:pt idx="4">
                  <c:v>4.2679928315412186</c:v>
                </c:pt>
                <c:pt idx="5">
                  <c:v>4.1978116136736823</c:v>
                </c:pt>
                <c:pt idx="6">
                  <c:v>12.306509881422924</c:v>
                </c:pt>
                <c:pt idx="7">
                  <c:v>5.3182390668700732</c:v>
                </c:pt>
                <c:pt idx="8">
                  <c:v>7.9470757575757567</c:v>
                </c:pt>
                <c:pt idx="9">
                  <c:v>12.091615786502095</c:v>
                </c:pt>
                <c:pt idx="10">
                  <c:v>4.9147454545454545</c:v>
                </c:pt>
                <c:pt idx="11">
                  <c:v>21.427</c:v>
                </c:pt>
                <c:pt idx="12">
                  <c:v>8.4905592636374116</c:v>
                </c:pt>
                <c:pt idx="13">
                  <c:v>10.380724114207087</c:v>
                </c:pt>
                <c:pt idx="14">
                  <c:v>10.282892844591322</c:v>
                </c:pt>
              </c:numCache>
            </c:numRef>
          </c:val>
        </c:ser>
        <c:dLbls>
          <c:showLegendKey val="0"/>
          <c:showVal val="0"/>
          <c:showCatName val="0"/>
          <c:showSerName val="0"/>
          <c:showPercent val="0"/>
          <c:showBubbleSize val="0"/>
        </c:dLbls>
        <c:gapWidth val="150"/>
        <c:axId val="-143594208"/>
        <c:axId val="-2083713632"/>
      </c:barChart>
      <c:lineChart>
        <c:grouping val="standard"/>
        <c:varyColors val="0"/>
        <c:ser>
          <c:idx val="1"/>
          <c:order val="1"/>
          <c:tx>
            <c:strRef>
              <c:f>dashboard!$I$9</c:f>
              <c:strCache>
                <c:ptCount val="1"/>
                <c:pt idx="0">
                  <c:v>Sum of Incentive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dashboard!$G$10:$G$24</c:f>
              <c:strCache>
                <c:ptCount val="15"/>
                <c:pt idx="0">
                  <c:v>2020-10</c:v>
                </c:pt>
                <c:pt idx="1">
                  <c:v>2020-11</c:v>
                </c:pt>
                <c:pt idx="2">
                  <c:v>2021-04</c:v>
                </c:pt>
                <c:pt idx="3">
                  <c:v>2021-05</c:v>
                </c:pt>
                <c:pt idx="4">
                  <c:v>2021-06</c:v>
                </c:pt>
                <c:pt idx="5">
                  <c:v>2021-10</c:v>
                </c:pt>
                <c:pt idx="6">
                  <c:v>2022-01</c:v>
                </c:pt>
                <c:pt idx="7">
                  <c:v>2022-02</c:v>
                </c:pt>
                <c:pt idx="8">
                  <c:v>2022-10</c:v>
                </c:pt>
                <c:pt idx="9">
                  <c:v>2023-07</c:v>
                </c:pt>
                <c:pt idx="10">
                  <c:v>2023-08</c:v>
                </c:pt>
                <c:pt idx="11">
                  <c:v>2023-12</c:v>
                </c:pt>
                <c:pt idx="12">
                  <c:v>2024-05</c:v>
                </c:pt>
                <c:pt idx="13">
                  <c:v>2024-08</c:v>
                </c:pt>
                <c:pt idx="14">
                  <c:v>2024-12</c:v>
                </c:pt>
              </c:strCache>
            </c:strRef>
          </c:cat>
          <c:val>
            <c:numRef>
              <c:f>dashboard!$I$10:$I$24</c:f>
              <c:numCache>
                <c:formatCode>General</c:formatCode>
                <c:ptCount val="15"/>
                <c:pt idx="0">
                  <c:v>1530.25</c:v>
                </c:pt>
                <c:pt idx="1">
                  <c:v>2357.7999999999997</c:v>
                </c:pt>
                <c:pt idx="2">
                  <c:v>2660.15</c:v>
                </c:pt>
                <c:pt idx="3">
                  <c:v>1359.3</c:v>
                </c:pt>
                <c:pt idx="4">
                  <c:v>1761.45</c:v>
                </c:pt>
                <c:pt idx="5">
                  <c:v>1761.45</c:v>
                </c:pt>
                <c:pt idx="6">
                  <c:v>2857.2</c:v>
                </c:pt>
                <c:pt idx="7">
                  <c:v>2660.15</c:v>
                </c:pt>
                <c:pt idx="8">
                  <c:v>1616.3999999999999</c:v>
                </c:pt>
                <c:pt idx="9">
                  <c:v>2725.95</c:v>
                </c:pt>
                <c:pt idx="10">
                  <c:v>1530.25</c:v>
                </c:pt>
                <c:pt idx="11">
                  <c:v>2307.3000000000002</c:v>
                </c:pt>
                <c:pt idx="12">
                  <c:v>3302.7</c:v>
                </c:pt>
                <c:pt idx="13">
                  <c:v>2774.55</c:v>
                </c:pt>
                <c:pt idx="14">
                  <c:v>4917.45</c:v>
                </c:pt>
              </c:numCache>
            </c:numRef>
          </c:val>
          <c:smooth val="0"/>
        </c:ser>
        <c:dLbls>
          <c:showLegendKey val="0"/>
          <c:showVal val="0"/>
          <c:showCatName val="0"/>
          <c:showSerName val="0"/>
          <c:showPercent val="0"/>
          <c:showBubbleSize val="0"/>
        </c:dLbls>
        <c:marker val="1"/>
        <c:smooth val="0"/>
        <c:axId val="-2083711456"/>
        <c:axId val="-2083715808"/>
      </c:lineChart>
      <c:catAx>
        <c:axId val="-143594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3713632"/>
        <c:crosses val="autoZero"/>
        <c:auto val="1"/>
        <c:lblAlgn val="ctr"/>
        <c:lblOffset val="100"/>
        <c:noMultiLvlLbl val="0"/>
      </c:catAx>
      <c:valAx>
        <c:axId val="-20837136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594208"/>
        <c:crosses val="autoZero"/>
        <c:crossBetween val="between"/>
      </c:valAx>
      <c:valAx>
        <c:axId val="-20837158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3711456"/>
        <c:crosses val="max"/>
        <c:crossBetween val="between"/>
      </c:valAx>
      <c:catAx>
        <c:axId val="-2083711456"/>
        <c:scaling>
          <c:orientation val="minMax"/>
        </c:scaling>
        <c:delete val="1"/>
        <c:axPos val="b"/>
        <c:numFmt formatCode="General" sourceLinked="1"/>
        <c:majorTickMark val="none"/>
        <c:minorTickMark val="none"/>
        <c:tickLblPos val="nextTo"/>
        <c:crossAx val="-208371580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407307</xdr:colOff>
      <xdr:row>14</xdr:row>
      <xdr:rowOff>32845</xdr:rowOff>
    </xdr:from>
    <xdr:to>
      <xdr:col>5</xdr:col>
      <xdr:colOff>1696983</xdr:colOff>
      <xdr:row>31</xdr:row>
      <xdr:rowOff>76638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36286</xdr:colOff>
      <xdr:row>17</xdr:row>
      <xdr:rowOff>127000</xdr:rowOff>
    </xdr:from>
    <xdr:to>
      <xdr:col>2</xdr:col>
      <xdr:colOff>362857</xdr:colOff>
      <xdr:row>19</xdr:row>
      <xdr:rowOff>45357</xdr:rowOff>
    </xdr:to>
    <xdr:sp macro="" textlink="">
      <xdr:nvSpPr>
        <xdr:cNvPr id="3" name="Right Arrow 2"/>
        <xdr:cNvSpPr/>
      </xdr:nvSpPr>
      <xdr:spPr>
        <a:xfrm>
          <a:off x="2667000" y="2485571"/>
          <a:ext cx="326571" cy="28121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72572</xdr:colOff>
      <xdr:row>17</xdr:row>
      <xdr:rowOff>136071</xdr:rowOff>
    </xdr:from>
    <xdr:to>
      <xdr:col>9</xdr:col>
      <xdr:colOff>553358</xdr:colOff>
      <xdr:row>19</xdr:row>
      <xdr:rowOff>126999</xdr:rowOff>
    </xdr:to>
    <xdr:sp macro="" textlink="">
      <xdr:nvSpPr>
        <xdr:cNvPr id="5" name="Right Arrow 4"/>
        <xdr:cNvSpPr/>
      </xdr:nvSpPr>
      <xdr:spPr>
        <a:xfrm>
          <a:off x="11910786" y="2494642"/>
          <a:ext cx="480786" cy="35378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489607</xdr:colOff>
      <xdr:row>6</xdr:row>
      <xdr:rowOff>175172</xdr:rowOff>
    </xdr:from>
    <xdr:to>
      <xdr:col>3</xdr:col>
      <xdr:colOff>2594741</xdr:colOff>
      <xdr:row>12</xdr:row>
      <xdr:rowOff>76638</xdr:rowOff>
    </xdr:to>
    <mc:AlternateContent xmlns:mc="http://schemas.openxmlformats.org/markup-compatibility/2006" xmlns:a14="http://schemas.microsoft.com/office/drawing/2010/main">
      <mc:Choice Requires="a14">
        <xdr:graphicFrame macro="">
          <xdr:nvGraphicFramePr>
            <xdr:cNvPr id="6" name="Year-Month"/>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3555124" y="1456120"/>
              <a:ext cx="2718238" cy="1105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456761</xdr:colOff>
      <xdr:row>6</xdr:row>
      <xdr:rowOff>153275</xdr:rowOff>
    </xdr:from>
    <xdr:to>
      <xdr:col>16</xdr:col>
      <xdr:colOff>186119</xdr:colOff>
      <xdr:row>12</xdr:row>
      <xdr:rowOff>186119</xdr:rowOff>
    </xdr:to>
    <mc:AlternateContent xmlns:mc="http://schemas.openxmlformats.org/markup-compatibility/2006" xmlns:a14="http://schemas.microsoft.com/office/drawing/2010/main">
      <mc:Choice Requires="a14">
        <xdr:graphicFrame macro="">
          <xdr:nvGraphicFramePr>
            <xdr:cNvPr id="7" name="Remarks"/>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14262537" y="1434223"/>
              <a:ext cx="3407979" cy="1237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149993</xdr:colOff>
      <xdr:row>14</xdr:row>
      <xdr:rowOff>10948</xdr:rowOff>
    </xdr:from>
    <xdr:to>
      <xdr:col>16</xdr:col>
      <xdr:colOff>525517</xdr:colOff>
      <xdr:row>32</xdr:row>
      <xdr:rowOff>87585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09.828448726854" createdVersion="5" refreshedVersion="5" minRefreshableVersion="3" recordCount="100">
  <cacheSource type="worksheet">
    <worksheetSource ref="A1:J101" sheet="Incentive summary"/>
  </cacheSource>
  <cacheFields count="10">
    <cacheField name="Salesperson" numFmtId="0">
      <sharedItems count="23">
        <s v="Aarav Sharma"/>
        <s v="Aditi Verma"/>
        <s v="Rohan Gupta"/>
        <s v="Sneha Singh"/>
        <s v="Nisha Kapoor"/>
        <s v="Aman Tiwari"/>
        <s v="Kavya Nair"/>
        <s v="Mohit Saxena"/>
        <s v="Priya Mishra"/>
        <s v="Aditya Rao"/>
        <s v="Pallavi Kulkarni"/>
        <s v="Saurabh Tripathi"/>
        <s v="Meenal Joshi"/>
        <s v="Deepak Sinha"/>
        <s v="Tanvi Deshpande"/>
        <s v="Ashish Rawat"/>
        <s v="Riya Chakraborty"/>
        <s v="Sunil Kumar"/>
        <s v="Alka Srivastava"/>
        <s v="Harsh Vardhan"/>
        <s v="Preeti Malhotra"/>
        <s v="Gaurav Singhal"/>
        <s v="Swati Thakur"/>
      </sharedItems>
    </cacheField>
    <cacheField name="Year-Month" numFmtId="0">
      <sharedItems count="38">
        <s v="2023-06"/>
        <s v="2024-12"/>
        <s v="2021-07"/>
        <s v="2024-05"/>
        <s v="2021-10"/>
        <s v="2022-11"/>
        <s v="2023-11"/>
        <s v="2020-03"/>
        <s v="2020-05"/>
        <s v="2025-02"/>
        <s v="2024-01"/>
        <s v="2020-11"/>
        <s v="2022-01"/>
        <s v="2021-12"/>
        <s v="2023-02"/>
        <s v="2022-10"/>
        <s v="2023-12"/>
        <s v="2023-07"/>
        <s v="2021-05"/>
        <s v="2024-08"/>
        <s v="2020-10"/>
        <s v="2023-08"/>
        <s v="2021-06"/>
        <s v="2023-05"/>
        <s v="2022-09"/>
        <s v="2022-03"/>
        <s v="2022-02"/>
        <s v="2021-04"/>
        <s v="2023-04"/>
        <s v="2022-12"/>
        <s v="2025-03"/>
        <s v="2024-09"/>
        <s v="2020-04"/>
        <s v="2022-06"/>
        <s v="2021-03"/>
        <s v="2021-11"/>
        <s v="2021-08"/>
        <s v="2022-05"/>
      </sharedItems>
    </cacheField>
    <cacheField name="Total Sales" numFmtId="0">
      <sharedItems containsSemiMixedTypes="0" containsString="0" containsNumber="1" containsInteger="1" minValue="883" maxValue="9726"/>
    </cacheField>
    <cacheField name="Target" numFmtId="0">
      <sharedItems containsSemiMixedTypes="0" containsString="0" containsNumber="1" containsInteger="1" minValue="500" maxValue="9800"/>
    </cacheField>
    <cacheField name="Achievement %" numFmtId="165">
      <sharedItems containsSemiMixedTypes="0" containsString="0" containsNumber="1" minValue="0.11932432432432433" maxValue="12.09"/>
    </cacheField>
    <cacheField name="Incentive %" numFmtId="165">
      <sharedItems containsSemiMixedTypes="0" containsString="0" containsNumber="1" minValue="0" maxValue="0.15"/>
    </cacheField>
    <cacheField name="Incentive Amount" numFmtId="0">
      <sharedItems containsSemiMixedTypes="0" containsString="0" containsNumber="1" minValue="0" maxValue="1452.45"/>
    </cacheField>
    <cacheField name="Incentive eligibility" numFmtId="0">
      <sharedItems/>
    </cacheField>
    <cacheField name="Performance Band" numFmtId="0">
      <sharedItems/>
    </cacheField>
    <cacheField name="Remarks" numFmtId="0">
      <sharedItems count="3">
        <s v="Low incentive"/>
        <s v="High incentive"/>
        <s v="No incentiv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n v="9726"/>
    <n v="9800"/>
    <n v="0.99244897959183676"/>
    <n v="0.05"/>
    <n v="486.3"/>
    <s v="Eligible"/>
    <s v="Average"/>
    <x v="0"/>
  </r>
  <r>
    <x v="1"/>
    <x v="1"/>
    <n v="9726"/>
    <n v="9500"/>
    <n v="1.0237894736842106"/>
    <n v="0.1"/>
    <n v="972.6"/>
    <s v="Eligible"/>
    <s v="Good"/>
    <x v="1"/>
  </r>
  <r>
    <x v="2"/>
    <x v="2"/>
    <n v="9726"/>
    <n v="9200"/>
    <n v="1.0571739130434783"/>
    <n v="0.1"/>
    <n v="972.6"/>
    <s v="Eligible"/>
    <s v="Good"/>
    <x v="1"/>
  </r>
  <r>
    <x v="3"/>
    <x v="0"/>
    <n v="4975"/>
    <n v="8900"/>
    <n v="0.5589887640449438"/>
    <n v="0"/>
    <n v="0"/>
    <s v="Not Eligible"/>
    <s v="Poor"/>
    <x v="2"/>
  </r>
  <r>
    <x v="2"/>
    <x v="1"/>
    <n v="4975"/>
    <n v="8600"/>
    <n v="0.57848837209302328"/>
    <n v="0"/>
    <n v="0"/>
    <s v="Not Eligible"/>
    <s v="Poor"/>
    <x v="2"/>
  </r>
  <r>
    <x v="3"/>
    <x v="2"/>
    <n v="4975"/>
    <n v="8300"/>
    <n v="0.5993975903614458"/>
    <n v="0"/>
    <n v="0"/>
    <s v="Not Eligible"/>
    <s v="Poor"/>
    <x v="2"/>
  </r>
  <r>
    <x v="4"/>
    <x v="3"/>
    <n v="1525"/>
    <n v="8000"/>
    <n v="0.19062499999999999"/>
    <n v="0"/>
    <n v="0"/>
    <s v="Not Eligible"/>
    <s v="Poor"/>
    <x v="2"/>
  </r>
  <r>
    <x v="0"/>
    <x v="4"/>
    <n v="1525"/>
    <n v="7700"/>
    <n v="0.19805194805194806"/>
    <n v="0"/>
    <n v="0"/>
    <s v="Not Eligible"/>
    <s v="Poor"/>
    <x v="2"/>
  </r>
  <r>
    <x v="1"/>
    <x v="5"/>
    <n v="883"/>
    <n v="7400"/>
    <n v="0.11932432432432433"/>
    <n v="0"/>
    <n v="0"/>
    <s v="Not Eligible"/>
    <s v="Poor"/>
    <x v="2"/>
  </r>
  <r>
    <x v="2"/>
    <x v="5"/>
    <n v="8127"/>
    <n v="7100"/>
    <n v="1.1446478873239436"/>
    <n v="0.1"/>
    <n v="812.7"/>
    <s v="Eligible"/>
    <s v="Good"/>
    <x v="1"/>
  </r>
  <r>
    <x v="3"/>
    <x v="6"/>
    <n v="2516"/>
    <n v="6800"/>
    <n v="0.37"/>
    <n v="0"/>
    <n v="0"/>
    <s v="Not Eligible"/>
    <s v="Poor"/>
    <x v="2"/>
  </r>
  <r>
    <x v="4"/>
    <x v="7"/>
    <n v="2975"/>
    <n v="6500"/>
    <n v="0.45769230769230768"/>
    <n v="0"/>
    <n v="0"/>
    <s v="Not Eligible"/>
    <s v="Poor"/>
    <x v="2"/>
  </r>
  <r>
    <x v="5"/>
    <x v="8"/>
    <n v="7874"/>
    <n v="6800"/>
    <n v="1.1579411764705883"/>
    <n v="0.1"/>
    <n v="787.40000000000009"/>
    <s v="Eligible"/>
    <s v="Good"/>
    <x v="1"/>
  </r>
  <r>
    <x v="4"/>
    <x v="8"/>
    <n v="7626"/>
    <n v="5900"/>
    <n v="1.2925423728813559"/>
    <n v="0.15"/>
    <n v="1143.8999999999999"/>
    <s v="Eligible"/>
    <s v="Excellent"/>
    <x v="1"/>
  </r>
  <r>
    <x v="5"/>
    <x v="8"/>
    <n v="7874"/>
    <n v="5600"/>
    <n v="1.4060714285714286"/>
    <n v="0.15"/>
    <n v="1181.0999999999999"/>
    <s v="Eligible"/>
    <s v="Excellent"/>
    <x v="1"/>
  </r>
  <r>
    <x v="6"/>
    <x v="6"/>
    <n v="7600"/>
    <n v="5300"/>
    <n v="1.4339622641509433"/>
    <n v="0.15"/>
    <n v="1140"/>
    <s v="Eligible"/>
    <s v="Excellent"/>
    <x v="1"/>
  </r>
  <r>
    <x v="7"/>
    <x v="6"/>
    <n v="7501"/>
    <n v="5000"/>
    <n v="1.5002"/>
    <n v="0.15"/>
    <n v="1125.1499999999999"/>
    <s v="Eligible"/>
    <s v="Excellent"/>
    <x v="1"/>
  </r>
  <r>
    <x v="8"/>
    <x v="1"/>
    <n v="2328"/>
    <n v="9800"/>
    <n v="0.23755102040816325"/>
    <n v="0"/>
    <n v="0"/>
    <s v="Not Eligible"/>
    <s v="Poor"/>
    <x v="2"/>
  </r>
  <r>
    <x v="9"/>
    <x v="1"/>
    <n v="7201"/>
    <n v="4400"/>
    <n v="1.636590909090909"/>
    <n v="0.15"/>
    <n v="1080.1499999999999"/>
    <s v="Eligible"/>
    <s v="Excellent"/>
    <x v="1"/>
  </r>
  <r>
    <x v="4"/>
    <x v="9"/>
    <n v="1629"/>
    <n v="4100"/>
    <n v="0.39731707317073173"/>
    <n v="0"/>
    <n v="0"/>
    <s v="Not Eligible"/>
    <s v="Poor"/>
    <x v="2"/>
  </r>
  <r>
    <x v="5"/>
    <x v="10"/>
    <n v="1629"/>
    <n v="3800"/>
    <n v="0.42868421052631578"/>
    <n v="0"/>
    <n v="0"/>
    <s v="Not Eligible"/>
    <s v="Poor"/>
    <x v="2"/>
  </r>
  <r>
    <x v="6"/>
    <x v="11"/>
    <n v="8971"/>
    <n v="3500"/>
    <n v="2.5631428571428572"/>
    <n v="0.15"/>
    <n v="1345.6499999999999"/>
    <s v="Eligible"/>
    <s v="Excellent"/>
    <x v="1"/>
  </r>
  <r>
    <x v="7"/>
    <x v="11"/>
    <n v="2939"/>
    <n v="3200"/>
    <n v="0.91843750000000002"/>
    <n v="0.05"/>
    <n v="146.95000000000002"/>
    <s v="Eligible"/>
    <s v="Average"/>
    <x v="0"/>
  </r>
  <r>
    <x v="8"/>
    <x v="3"/>
    <n v="9380"/>
    <n v="2900"/>
    <n v="3.2344827586206897"/>
    <n v="0.15"/>
    <n v="1407"/>
    <s v="Eligible"/>
    <s v="Excellent"/>
    <x v="1"/>
  </r>
  <r>
    <x v="9"/>
    <x v="3"/>
    <n v="8558"/>
    <n v="2600"/>
    <n v="3.2915384615384617"/>
    <n v="0.15"/>
    <n v="1283.7"/>
    <s v="Eligible"/>
    <s v="Excellent"/>
    <x v="1"/>
  </r>
  <r>
    <x v="10"/>
    <x v="3"/>
    <n v="4080"/>
    <n v="2300"/>
    <n v="1.7739130434782608"/>
    <n v="0.15"/>
    <n v="612"/>
    <s v="Eligible"/>
    <s v="Excellent"/>
    <x v="1"/>
  </r>
  <r>
    <x v="11"/>
    <x v="12"/>
    <n v="4206"/>
    <n v="2000"/>
    <n v="2.1030000000000002"/>
    <n v="0.15"/>
    <n v="630.9"/>
    <s v="Eligible"/>
    <s v="Excellent"/>
    <x v="1"/>
  </r>
  <r>
    <x v="12"/>
    <x v="13"/>
    <n v="5219"/>
    <n v="1700"/>
    <n v="3.07"/>
    <n v="0.15"/>
    <n v="782.85"/>
    <s v="Eligible"/>
    <s v="Excellent"/>
    <x v="1"/>
  </r>
  <r>
    <x v="13"/>
    <x v="14"/>
    <n v="5219"/>
    <n v="1400"/>
    <n v="3.7278571428571428"/>
    <n v="0.15"/>
    <n v="782.85"/>
    <s v="Eligible"/>
    <s v="Excellent"/>
    <x v="1"/>
  </r>
  <r>
    <x v="14"/>
    <x v="15"/>
    <n v="3686"/>
    <n v="1100"/>
    <n v="3.3509090909090911"/>
    <n v="0.15"/>
    <n v="552.9"/>
    <s v="Eligible"/>
    <s v="Excellent"/>
    <x v="1"/>
  </r>
  <r>
    <x v="15"/>
    <x v="12"/>
    <n v="3686"/>
    <n v="800"/>
    <n v="4.6074999999999999"/>
    <n v="0.15"/>
    <n v="552.9"/>
    <s v="Eligible"/>
    <s v="Excellent"/>
    <x v="1"/>
  </r>
  <r>
    <x v="16"/>
    <x v="16"/>
    <n v="6045"/>
    <n v="500"/>
    <n v="12.09"/>
    <n v="0.15"/>
    <n v="906.75"/>
    <s v="Eligible"/>
    <s v="Excellent"/>
    <x v="1"/>
  </r>
  <r>
    <x v="17"/>
    <x v="16"/>
    <n v="9337"/>
    <n v="1000"/>
    <n v="9.3369999999999997"/>
    <n v="0.15"/>
    <n v="1400.55"/>
    <s v="Eligible"/>
    <s v="Excellent"/>
    <x v="1"/>
  </r>
  <r>
    <x v="18"/>
    <x v="17"/>
    <n v="4051"/>
    <n v="1100"/>
    <n v="3.6827272727272726"/>
    <n v="0.15"/>
    <n v="607.65"/>
    <s v="Eligible"/>
    <s v="Excellent"/>
    <x v="1"/>
  </r>
  <r>
    <x v="19"/>
    <x v="18"/>
    <n v="4051"/>
    <n v="1200"/>
    <n v="3.3758333333333335"/>
    <n v="0.15"/>
    <n v="607.65"/>
    <s v="Eligible"/>
    <s v="Excellent"/>
    <x v="1"/>
  </r>
  <r>
    <x v="20"/>
    <x v="17"/>
    <n v="5011"/>
    <n v="1300"/>
    <n v="3.8546153846153848"/>
    <n v="0.15"/>
    <n v="751.65"/>
    <s v="Eligible"/>
    <s v="Excellent"/>
    <x v="1"/>
  </r>
  <r>
    <x v="21"/>
    <x v="18"/>
    <n v="5011"/>
    <n v="1400"/>
    <n v="3.5792857142857142"/>
    <n v="0.15"/>
    <n v="751.65"/>
    <s v="Eligible"/>
    <s v="Excellent"/>
    <x v="1"/>
  </r>
  <r>
    <x v="22"/>
    <x v="15"/>
    <n v="3958"/>
    <n v="1500"/>
    <n v="2.6386666666666665"/>
    <n v="0.15"/>
    <n v="593.69999999999993"/>
    <s v="Eligible"/>
    <s v="Excellent"/>
    <x v="1"/>
  </r>
  <r>
    <x v="9"/>
    <x v="15"/>
    <n v="3132"/>
    <n v="1600"/>
    <n v="1.9575"/>
    <n v="0.15"/>
    <n v="469.79999999999995"/>
    <s v="Eligible"/>
    <s v="Excellent"/>
    <x v="1"/>
  </r>
  <r>
    <x v="4"/>
    <x v="19"/>
    <n v="7784"/>
    <n v="1700"/>
    <n v="4.578823529411765"/>
    <n v="0.15"/>
    <n v="1167.5999999999999"/>
    <s v="Eligible"/>
    <s v="Excellent"/>
    <x v="1"/>
  </r>
  <r>
    <x v="5"/>
    <x v="19"/>
    <n v="5591"/>
    <n v="1800"/>
    <n v="3.1061111111111113"/>
    <n v="0.15"/>
    <n v="838.65"/>
    <s v="Eligible"/>
    <s v="Excellent"/>
    <x v="1"/>
  </r>
  <r>
    <x v="6"/>
    <x v="19"/>
    <n v="5122"/>
    <n v="1900"/>
    <n v="2.6957894736842105"/>
    <n v="0.15"/>
    <n v="768.3"/>
    <s v="Eligible"/>
    <s v="Excellent"/>
    <x v="1"/>
  </r>
  <r>
    <x v="7"/>
    <x v="12"/>
    <n v="8293"/>
    <n v="2000"/>
    <n v="4.1464999999999996"/>
    <n v="0.15"/>
    <n v="1243.95"/>
    <s v="Eligible"/>
    <s v="Excellent"/>
    <x v="1"/>
  </r>
  <r>
    <x v="8"/>
    <x v="20"/>
    <n v="8293"/>
    <n v="2100"/>
    <n v="3.9490476190476191"/>
    <n v="0.15"/>
    <n v="1243.95"/>
    <s v="Eligible"/>
    <s v="Excellent"/>
    <x v="1"/>
  </r>
  <r>
    <x v="9"/>
    <x v="21"/>
    <n v="8293"/>
    <n v="2200"/>
    <n v="3.7695454545454545"/>
    <n v="0.15"/>
    <n v="1243.95"/>
    <s v="Eligible"/>
    <s v="Excellent"/>
    <x v="1"/>
  </r>
  <r>
    <x v="10"/>
    <x v="12"/>
    <n v="2863"/>
    <n v="2300"/>
    <n v="1.2447826086956522"/>
    <n v="0.15"/>
    <n v="429.45"/>
    <s v="Eligible"/>
    <s v="Excellent"/>
    <x v="1"/>
  </r>
  <r>
    <x v="11"/>
    <x v="20"/>
    <n v="2863"/>
    <n v="2400"/>
    <n v="1.1929166666666666"/>
    <n v="0.1"/>
    <n v="286.3"/>
    <s v="Eligible"/>
    <s v="Good"/>
    <x v="1"/>
  </r>
  <r>
    <x v="12"/>
    <x v="21"/>
    <n v="2863"/>
    <n v="2500"/>
    <n v="1.1452"/>
    <n v="0.1"/>
    <n v="286.3"/>
    <s v="Eligible"/>
    <s v="Good"/>
    <x v="1"/>
  </r>
  <r>
    <x v="13"/>
    <x v="1"/>
    <n v="3090"/>
    <n v="2600"/>
    <n v="1.1884615384615385"/>
    <n v="0.1"/>
    <n v="309"/>
    <s v="Eligible"/>
    <s v="Good"/>
    <x v="1"/>
  </r>
  <r>
    <x v="14"/>
    <x v="22"/>
    <n v="3090"/>
    <n v="2700"/>
    <n v="1.1444444444444444"/>
    <n v="0.1"/>
    <n v="309"/>
    <s v="Eligible"/>
    <s v="Good"/>
    <x v="1"/>
  </r>
  <r>
    <x v="15"/>
    <x v="23"/>
    <n v="3090"/>
    <n v="2800"/>
    <n v="1.1035714285714286"/>
    <n v="0.1"/>
    <n v="309"/>
    <s v="Eligible"/>
    <s v="Good"/>
    <x v="1"/>
  </r>
  <r>
    <x v="16"/>
    <x v="4"/>
    <n v="3090"/>
    <n v="2900"/>
    <n v="1.0655172413793104"/>
    <n v="0.1"/>
    <n v="309"/>
    <s v="Eligible"/>
    <s v="Good"/>
    <x v="1"/>
  </r>
  <r>
    <x v="17"/>
    <x v="1"/>
    <n v="9683"/>
    <n v="3000"/>
    <n v="3.2276666666666665"/>
    <n v="0.15"/>
    <n v="1452.45"/>
    <s v="Eligible"/>
    <s v="Excellent"/>
    <x v="1"/>
  </r>
  <r>
    <x v="18"/>
    <x v="22"/>
    <n v="9683"/>
    <n v="3100"/>
    <n v="3.1235483870967742"/>
    <n v="0.15"/>
    <n v="1452.45"/>
    <s v="Eligible"/>
    <s v="Excellent"/>
    <x v="1"/>
  </r>
  <r>
    <x v="19"/>
    <x v="23"/>
    <n v="9683"/>
    <n v="3200"/>
    <n v="3.0259374999999999"/>
    <n v="0.15"/>
    <n v="1452.45"/>
    <s v="Eligible"/>
    <s v="Excellent"/>
    <x v="1"/>
  </r>
  <r>
    <x v="20"/>
    <x v="4"/>
    <n v="9683"/>
    <n v="3300"/>
    <n v="2.9342424242424241"/>
    <n v="0.15"/>
    <n v="1452.45"/>
    <s v="Eligible"/>
    <s v="Excellent"/>
    <x v="1"/>
  </r>
  <r>
    <x v="21"/>
    <x v="24"/>
    <n v="2463"/>
    <n v="3400"/>
    <n v="0.72441176470588231"/>
    <n v="0"/>
    <n v="0"/>
    <s v="Not Eligible"/>
    <s v="Poor"/>
    <x v="2"/>
  </r>
  <r>
    <x v="22"/>
    <x v="25"/>
    <n v="7811"/>
    <n v="3500"/>
    <n v="2.2317142857142858"/>
    <n v="0.15"/>
    <n v="1171.6499999999999"/>
    <s v="Eligible"/>
    <s v="Excellent"/>
    <x v="1"/>
  </r>
  <r>
    <x v="13"/>
    <x v="26"/>
    <n v="6139"/>
    <n v="3600"/>
    <n v="1.7052777777777777"/>
    <n v="0.15"/>
    <n v="920.84999999999991"/>
    <s v="Eligible"/>
    <s v="Excellent"/>
    <x v="1"/>
  </r>
  <r>
    <x v="14"/>
    <x v="27"/>
    <n v="6139"/>
    <n v="3700"/>
    <n v="1.6591891891891892"/>
    <n v="0.15"/>
    <n v="920.84999999999991"/>
    <s v="Eligible"/>
    <s v="Excellent"/>
    <x v="1"/>
  </r>
  <r>
    <x v="15"/>
    <x v="26"/>
    <n v="8636"/>
    <n v="3800"/>
    <n v="2.2726315789473683"/>
    <n v="0.15"/>
    <n v="1295.3999999999999"/>
    <s v="Eligible"/>
    <s v="Excellent"/>
    <x v="1"/>
  </r>
  <r>
    <x v="16"/>
    <x v="27"/>
    <n v="8636"/>
    <n v="3900"/>
    <n v="2.2143589743589742"/>
    <n v="0.15"/>
    <n v="1295.3999999999999"/>
    <s v="Eligible"/>
    <s v="Excellent"/>
    <x v="1"/>
  </r>
  <r>
    <x v="17"/>
    <x v="26"/>
    <n v="4439"/>
    <n v="4000"/>
    <n v="1.10975"/>
    <n v="0.1"/>
    <n v="443.90000000000003"/>
    <s v="Eligible"/>
    <s v="Good"/>
    <x v="1"/>
  </r>
  <r>
    <x v="18"/>
    <x v="27"/>
    <n v="4439"/>
    <n v="4100"/>
    <n v="1.0826829268292684"/>
    <n v="0.1"/>
    <n v="443.90000000000003"/>
    <s v="Eligible"/>
    <s v="Good"/>
    <x v="1"/>
  </r>
  <r>
    <x v="19"/>
    <x v="11"/>
    <n v="1016"/>
    <n v="4200"/>
    <n v="0.2419047619047619"/>
    <n v="0"/>
    <n v="0"/>
    <s v="Not Eligible"/>
    <s v="Poor"/>
    <x v="2"/>
  </r>
  <r>
    <x v="20"/>
    <x v="11"/>
    <n v="5768"/>
    <n v="4300"/>
    <n v="1.3413953488372092"/>
    <n v="0.15"/>
    <n v="865.19999999999993"/>
    <s v="Eligible"/>
    <s v="Excellent"/>
    <x v="1"/>
  </r>
  <r>
    <x v="21"/>
    <x v="11"/>
    <n v="1217"/>
    <n v="4400"/>
    <n v="0.27659090909090911"/>
    <n v="0"/>
    <n v="0"/>
    <s v="Not Eligible"/>
    <s v="Poor"/>
    <x v="2"/>
  </r>
  <r>
    <x v="22"/>
    <x v="1"/>
    <n v="953"/>
    <n v="4500"/>
    <n v="0.21177777777777779"/>
    <n v="0"/>
    <n v="0"/>
    <s v="Not Eligible"/>
    <s v="Poor"/>
    <x v="2"/>
  </r>
  <r>
    <x v="9"/>
    <x v="28"/>
    <n v="2556"/>
    <n v="9800"/>
    <n v="0.26081632653061226"/>
    <n v="0"/>
    <n v="0"/>
    <s v="Not Eligible"/>
    <s v="Poor"/>
    <x v="2"/>
  </r>
  <r>
    <x v="4"/>
    <x v="1"/>
    <n v="7355"/>
    <n v="4700"/>
    <n v="1.5648936170212766"/>
    <n v="0.15"/>
    <n v="1103.25"/>
    <s v="Eligible"/>
    <s v="Excellent"/>
    <x v="1"/>
  </r>
  <r>
    <x v="5"/>
    <x v="28"/>
    <n v="7355"/>
    <n v="4800"/>
    <n v="1.5322916666666666"/>
    <n v="0.15"/>
    <n v="1103.25"/>
    <s v="Eligible"/>
    <s v="Excellent"/>
    <x v="1"/>
  </r>
  <r>
    <x v="6"/>
    <x v="1"/>
    <n v="1843"/>
    <n v="4900"/>
    <n v="0.37612244897959185"/>
    <n v="0"/>
    <n v="0"/>
    <s v="Not Eligible"/>
    <s v="Poor"/>
    <x v="2"/>
  </r>
  <r>
    <x v="7"/>
    <x v="28"/>
    <n v="1843"/>
    <n v="5000"/>
    <n v="0.36859999999999998"/>
    <n v="0"/>
    <n v="0"/>
    <s v="Not Eligible"/>
    <s v="Poor"/>
    <x v="2"/>
  </r>
  <r>
    <x v="8"/>
    <x v="1"/>
    <n v="2328"/>
    <n v="9800"/>
    <n v="0.23755102040816325"/>
    <n v="0"/>
    <n v="0"/>
    <s v="Not Eligible"/>
    <s v="Poor"/>
    <x v="2"/>
  </r>
  <r>
    <x v="9"/>
    <x v="28"/>
    <n v="2556"/>
    <n v="9800"/>
    <n v="0.26081632653061226"/>
    <n v="0"/>
    <n v="0"/>
    <s v="Not Eligible"/>
    <s v="Poor"/>
    <x v="2"/>
  </r>
  <r>
    <x v="10"/>
    <x v="10"/>
    <n v="2025"/>
    <n v="5300"/>
    <n v="0.38207547169811323"/>
    <n v="0"/>
    <n v="0"/>
    <s v="Not Eligible"/>
    <s v="Poor"/>
    <x v="2"/>
  </r>
  <r>
    <x v="11"/>
    <x v="10"/>
    <n v="6800"/>
    <n v="5400"/>
    <n v="1.2592592592592593"/>
    <n v="0.15"/>
    <n v="1020"/>
    <s v="Eligible"/>
    <s v="Excellent"/>
    <x v="1"/>
  </r>
  <r>
    <x v="12"/>
    <x v="12"/>
    <n v="1126"/>
    <n v="5500"/>
    <n v="0.20472727272727273"/>
    <n v="0"/>
    <n v="0"/>
    <s v="Not Eligible"/>
    <s v="Poor"/>
    <x v="2"/>
  </r>
  <r>
    <x v="21"/>
    <x v="29"/>
    <n v="1126"/>
    <n v="5600"/>
    <n v="0.20107142857142857"/>
    <n v="0"/>
    <n v="0"/>
    <s v="Not Eligible"/>
    <s v="Poor"/>
    <x v="2"/>
  </r>
  <r>
    <x v="22"/>
    <x v="17"/>
    <n v="7533"/>
    <n v="5700"/>
    <n v="1.321578947368421"/>
    <n v="0.15"/>
    <n v="1129.95"/>
    <s v="Eligible"/>
    <s v="Excellent"/>
    <x v="1"/>
  </r>
  <r>
    <x v="9"/>
    <x v="17"/>
    <n v="4734"/>
    <n v="5800"/>
    <n v="0.81620689655172418"/>
    <n v="0.05"/>
    <n v="236.70000000000002"/>
    <s v="Eligible"/>
    <s v="Average"/>
    <x v="0"/>
  </r>
  <r>
    <x v="4"/>
    <x v="17"/>
    <n v="4074"/>
    <n v="5900"/>
    <n v="0.69050847457627118"/>
    <n v="0"/>
    <n v="0"/>
    <s v="Not Eligible"/>
    <s v="Poor"/>
    <x v="2"/>
  </r>
  <r>
    <x v="5"/>
    <x v="17"/>
    <n v="2334"/>
    <n v="6000"/>
    <n v="0.38900000000000001"/>
    <n v="0"/>
    <n v="0"/>
    <s v="Not Eligible"/>
    <s v="Poor"/>
    <x v="2"/>
  </r>
  <r>
    <x v="6"/>
    <x v="30"/>
    <n v="2750"/>
    <n v="6100"/>
    <n v="0.45081967213114754"/>
    <n v="0"/>
    <n v="0"/>
    <s v="Not Eligible"/>
    <s v="Poor"/>
    <x v="2"/>
  </r>
  <r>
    <x v="7"/>
    <x v="31"/>
    <n v="2750"/>
    <n v="6200"/>
    <n v="0.44354838709677419"/>
    <n v="0"/>
    <n v="0"/>
    <s v="Not Eligible"/>
    <s v="Poor"/>
    <x v="2"/>
  </r>
  <r>
    <x v="8"/>
    <x v="30"/>
    <n v="8639"/>
    <n v="6300"/>
    <n v="1.3712698412698412"/>
    <n v="0.15"/>
    <n v="1295.8499999999999"/>
    <s v="Eligible"/>
    <s v="Excellent"/>
    <x v="1"/>
  </r>
  <r>
    <x v="9"/>
    <x v="31"/>
    <n v="8639"/>
    <n v="6400"/>
    <n v="1.34984375"/>
    <n v="0.15"/>
    <n v="1295.8499999999999"/>
    <s v="Eligible"/>
    <s v="Excellent"/>
    <x v="1"/>
  </r>
  <r>
    <x v="10"/>
    <x v="32"/>
    <n v="3808"/>
    <n v="6500"/>
    <n v="0.58584615384615379"/>
    <n v="0"/>
    <n v="0"/>
    <s v="Not Eligible"/>
    <s v="Poor"/>
    <x v="2"/>
  </r>
  <r>
    <x v="11"/>
    <x v="32"/>
    <n v="2588"/>
    <n v="6600"/>
    <n v="0.39212121212121215"/>
    <n v="0"/>
    <n v="0"/>
    <s v="Not Eligible"/>
    <s v="Poor"/>
    <x v="2"/>
  </r>
  <r>
    <x v="12"/>
    <x v="33"/>
    <n v="1591"/>
    <n v="6700"/>
    <n v="0.23746268656716418"/>
    <n v="0"/>
    <n v="0"/>
    <s v="Not Eligible"/>
    <s v="Poor"/>
    <x v="2"/>
  </r>
  <r>
    <x v="13"/>
    <x v="34"/>
    <n v="1591"/>
    <n v="6800"/>
    <n v="0.23397058823529412"/>
    <n v="0"/>
    <n v="0"/>
    <s v="Not Eligible"/>
    <s v="Poor"/>
    <x v="2"/>
  </r>
  <r>
    <x v="14"/>
    <x v="26"/>
    <n v="1591"/>
    <n v="6900"/>
    <n v="0.23057971014492754"/>
    <n v="0"/>
    <n v="0"/>
    <s v="Not Eligible"/>
    <s v="Poor"/>
    <x v="2"/>
  </r>
  <r>
    <x v="15"/>
    <x v="25"/>
    <n v="1757"/>
    <n v="7000"/>
    <n v="0.251"/>
    <n v="0"/>
    <n v="0"/>
    <s v="Not Eligible"/>
    <s v="Poor"/>
    <x v="2"/>
  </r>
  <r>
    <x v="16"/>
    <x v="5"/>
    <n v="1757"/>
    <n v="7100"/>
    <n v="0.24746478873239436"/>
    <n v="0"/>
    <n v="0"/>
    <s v="Not Eligible"/>
    <s v="Poor"/>
    <x v="2"/>
  </r>
  <r>
    <x v="17"/>
    <x v="35"/>
    <n v="6940"/>
    <n v="7200"/>
    <n v="0.96388888888888891"/>
    <n v="0.05"/>
    <n v="347"/>
    <s v="Eligible"/>
    <s v="Average"/>
    <x v="0"/>
  </r>
  <r>
    <x v="18"/>
    <x v="35"/>
    <n v="5105"/>
    <n v="7300"/>
    <n v="0.69931506849315073"/>
    <n v="0"/>
    <n v="0"/>
    <s v="Not Eligible"/>
    <s v="Poor"/>
    <x v="2"/>
  </r>
  <r>
    <x v="19"/>
    <x v="36"/>
    <n v="5578"/>
    <n v="7400"/>
    <n v="0.75378378378378375"/>
    <n v="0"/>
    <n v="0"/>
    <s v="Not Eligible"/>
    <s v="Poor"/>
    <x v="2"/>
  </r>
  <r>
    <x v="20"/>
    <x v="37"/>
    <n v="5578"/>
    <n v="7500"/>
    <n v="0.74373333333333336"/>
    <n v="0"/>
    <n v="0"/>
    <s v="Not Eligible"/>
    <s v="Poor"/>
    <x v="2"/>
  </r>
  <r>
    <x v="15"/>
    <x v="17"/>
    <n v="5224"/>
    <n v="7600"/>
    <n v="0.68736842105263163"/>
    <n v="0"/>
    <n v="0"/>
    <s v="Not Eligible"/>
    <s v="Poor"/>
    <x v="2"/>
  </r>
  <r>
    <x v="16"/>
    <x v="17"/>
    <n v="5002"/>
    <n v="7700"/>
    <n v="0.64961038961038964"/>
    <n v="0"/>
    <n v="0"/>
    <s v="Not Eligible"/>
    <s v="Poo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rowHeaderCaption="sales person">
  <location ref="F2:G25" firstHeaderRow="1" firstDataRow="1" firstDataCol="1"/>
  <pivotFields count="10">
    <pivotField axis="axisRow" showAll="0">
      <items count="24">
        <item x="0"/>
        <item x="1"/>
        <item x="9"/>
        <item x="18"/>
        <item x="5"/>
        <item x="15"/>
        <item x="13"/>
        <item x="21"/>
        <item x="19"/>
        <item x="6"/>
        <item x="12"/>
        <item x="7"/>
        <item x="4"/>
        <item x="10"/>
        <item x="20"/>
        <item x="8"/>
        <item x="16"/>
        <item x="2"/>
        <item x="11"/>
        <item x="3"/>
        <item x="17"/>
        <item x="22"/>
        <item x="14"/>
        <item t="default"/>
      </items>
    </pivotField>
    <pivotField showAll="0">
      <items count="39">
        <item x="7"/>
        <item x="32"/>
        <item x="8"/>
        <item x="20"/>
        <item x="11"/>
        <item x="34"/>
        <item x="27"/>
        <item x="18"/>
        <item x="22"/>
        <item x="2"/>
        <item x="36"/>
        <item x="4"/>
        <item x="35"/>
        <item x="13"/>
        <item x="12"/>
        <item x="26"/>
        <item x="25"/>
        <item x="37"/>
        <item x="33"/>
        <item x="24"/>
        <item x="15"/>
        <item x="5"/>
        <item x="29"/>
        <item x="14"/>
        <item x="28"/>
        <item x="23"/>
        <item x="0"/>
        <item x="17"/>
        <item x="21"/>
        <item x="6"/>
        <item x="16"/>
        <item x="10"/>
        <item x="3"/>
        <item x="19"/>
        <item x="31"/>
        <item x="1"/>
        <item x="9"/>
        <item x="30"/>
        <item t="default"/>
      </items>
    </pivotField>
    <pivotField showAll="0"/>
    <pivotField showAll="0"/>
    <pivotField numFmtId="165" showAll="0"/>
    <pivotField numFmtId="165" showAll="0"/>
    <pivotField dataField="1" showAll="0"/>
    <pivotField showAll="0"/>
    <pivotField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Sum of Incentive Amount" fld="6" baseField="0" baseItem="0"/>
  </dataFields>
  <formats count="16">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outline="0" axis="axisValues" fieldPosition="0"/>
    </format>
    <format dxfId="54">
      <pivotArea dataOnly="0" labelOnly="1" fieldPosition="0">
        <references count="1">
          <reference field="0" count="0"/>
        </references>
      </pivotArea>
    </format>
    <format dxfId="53">
      <pivotArea dataOnly="0" labelOnly="1" grandRow="1" outline="0" fieldPosition="0"/>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outline="0" axis="axisValues" fieldPosition="0"/>
    </format>
    <format dxfId="48">
      <pivotArea dataOnly="0" labelOnly="1" fieldPosition="0">
        <references count="1">
          <reference field="0" count="0"/>
        </references>
      </pivotArea>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outline="0" axis="axisValues" fieldPosition="0"/>
    </format>
    <format dxfId="43">
      <pivotArea dataOnly="0" labelOnly="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ly_performance" cacheId="7"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9">
  <location ref="G9:I24" firstHeaderRow="0" firstDataRow="1" firstDataCol="1"/>
  <pivotFields count="10">
    <pivotField showAll="0"/>
    <pivotField axis="axisRow" showAll="0" measureFilter="1">
      <items count="39">
        <item x="7"/>
        <item x="32"/>
        <item x="8"/>
        <item x="20"/>
        <item x="11"/>
        <item x="34"/>
        <item x="27"/>
        <item x="18"/>
        <item x="22"/>
        <item x="2"/>
        <item x="36"/>
        <item x="4"/>
        <item x="35"/>
        <item x="13"/>
        <item x="12"/>
        <item x="26"/>
        <item x="25"/>
        <item x="37"/>
        <item x="33"/>
        <item x="24"/>
        <item x="15"/>
        <item x="5"/>
        <item x="29"/>
        <item x="14"/>
        <item x="28"/>
        <item x="23"/>
        <item x="0"/>
        <item x="17"/>
        <item x="21"/>
        <item x="6"/>
        <item x="16"/>
        <item x="10"/>
        <item x="3"/>
        <item x="19"/>
        <item x="31"/>
        <item x="1"/>
        <item x="9"/>
        <item x="30"/>
        <item t="default"/>
      </items>
    </pivotField>
    <pivotField showAll="0"/>
    <pivotField showAll="0"/>
    <pivotField dataField="1" numFmtId="165" showAll="0"/>
    <pivotField numFmtId="165" showAll="0"/>
    <pivotField dataField="1" showAll="0"/>
    <pivotField showAll="0"/>
    <pivotField showAll="0"/>
    <pivotField showAll="0">
      <items count="4">
        <item x="1"/>
        <item x="0"/>
        <item x="2"/>
        <item t="default"/>
      </items>
    </pivotField>
  </pivotFields>
  <rowFields count="1">
    <field x="1"/>
  </rowFields>
  <rowItems count="15">
    <i>
      <x v="3"/>
    </i>
    <i>
      <x v="4"/>
    </i>
    <i>
      <x v="6"/>
    </i>
    <i>
      <x v="7"/>
    </i>
    <i>
      <x v="8"/>
    </i>
    <i>
      <x v="11"/>
    </i>
    <i>
      <x v="14"/>
    </i>
    <i>
      <x v="15"/>
    </i>
    <i>
      <x v="20"/>
    </i>
    <i>
      <x v="27"/>
    </i>
    <i>
      <x v="28"/>
    </i>
    <i>
      <x v="30"/>
    </i>
    <i>
      <x v="32"/>
    </i>
    <i>
      <x v="33"/>
    </i>
    <i>
      <x v="35"/>
    </i>
  </rowItems>
  <colFields count="1">
    <field x="-2"/>
  </colFields>
  <colItems count="2">
    <i>
      <x/>
    </i>
    <i i="1">
      <x v="1"/>
    </i>
  </colItems>
  <dataFields count="2">
    <dataField name="Sum of Achievement %" fld="4" baseField="0" baseItem="0" numFmtId="10"/>
    <dataField name="Sum of Incentive Amount" fld="6" baseField="0" baseItem="0"/>
  </dataFields>
  <formats count="18">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15">
            <x v="3"/>
            <x v="4"/>
            <x v="6"/>
            <x v="7"/>
            <x v="8"/>
            <x v="11"/>
            <x v="14"/>
            <x v="15"/>
            <x v="20"/>
            <x v="27"/>
            <x v="28"/>
            <x v="30"/>
            <x v="32"/>
            <x v="33"/>
            <x v="35"/>
          </reference>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15">
            <x v="3"/>
            <x v="4"/>
            <x v="6"/>
            <x v="7"/>
            <x v="8"/>
            <x v="11"/>
            <x v="14"/>
            <x v="15"/>
            <x v="20"/>
            <x v="27"/>
            <x v="28"/>
            <x v="30"/>
            <x v="32"/>
            <x v="33"/>
            <x v="35"/>
          </reference>
        </references>
      </pivotArea>
    </format>
    <format dxfId="7">
      <pivotArea dataOnly="0" labelOnly="1" outline="0" fieldPosition="0">
        <references count="1">
          <reference field="4294967294" count="2">
            <x v="0"/>
            <x v="1"/>
          </reference>
        </references>
      </pivotArea>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15">
            <x v="3"/>
            <x v="4"/>
            <x v="6"/>
            <x v="7"/>
            <x v="8"/>
            <x v="11"/>
            <x v="14"/>
            <x v="15"/>
            <x v="20"/>
            <x v="27"/>
            <x v="28"/>
            <x v="30"/>
            <x v="32"/>
            <x v="33"/>
            <x v="35"/>
          </reference>
        </references>
      </pivotArea>
    </format>
    <format dxfId="2">
      <pivotArea dataOnly="0" labelOnly="1" outline="0" fieldPosition="0">
        <references count="1">
          <reference field="4294967294" count="2">
            <x v="0"/>
            <x v="1"/>
          </reference>
        </references>
      </pivotArea>
    </format>
    <format dxfId="1">
      <pivotArea collapsedLevelsAreSubtotals="1" fieldPosition="0">
        <references count="2">
          <reference field="4294967294" count="1" selected="0">
            <x v="0"/>
          </reference>
          <reference field="1" count="1">
            <x v="3"/>
          </reference>
        </references>
      </pivotArea>
    </format>
    <format dxfId="0">
      <pivotArea outline="0" collapsedLevelsAreSubtotals="1" fieldPosition="0">
        <references count="1">
          <reference field="4294967294" count="1" selected="0">
            <x v="0"/>
          </reference>
        </references>
      </pivotArea>
    </format>
  </formats>
  <chartFormats count="2">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incentive_salesperson" cacheId="7"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rowHeaderCaption="sales person">
  <location ref="A9:B19" firstHeaderRow="1" firstDataRow="1" firstDataCol="1"/>
  <pivotFields count="10">
    <pivotField axis="axisRow" showAll="0" measureFilter="1">
      <items count="24">
        <item x="0"/>
        <item x="1"/>
        <item x="9"/>
        <item x="18"/>
        <item x="5"/>
        <item x="15"/>
        <item x="13"/>
        <item x="21"/>
        <item x="19"/>
        <item x="6"/>
        <item x="12"/>
        <item x="7"/>
        <item x="4"/>
        <item x="10"/>
        <item x="20"/>
        <item x="8"/>
        <item x="16"/>
        <item x="2"/>
        <item x="11"/>
        <item x="3"/>
        <item x="17"/>
        <item x="22"/>
        <item x="14"/>
        <item t="default"/>
      </items>
    </pivotField>
    <pivotField showAll="0">
      <items count="39">
        <item x="7"/>
        <item x="32"/>
        <item x="8"/>
        <item x="20"/>
        <item x="11"/>
        <item x="34"/>
        <item x="27"/>
        <item x="18"/>
        <item x="22"/>
        <item x="2"/>
        <item x="36"/>
        <item x="4"/>
        <item x="35"/>
        <item x="13"/>
        <item x="12"/>
        <item x="26"/>
        <item x="25"/>
        <item x="37"/>
        <item x="33"/>
        <item x="24"/>
        <item x="15"/>
        <item x="5"/>
        <item x="29"/>
        <item x="14"/>
        <item x="28"/>
        <item x="23"/>
        <item x="0"/>
        <item x="17"/>
        <item x="21"/>
        <item x="6"/>
        <item x="16"/>
        <item x="10"/>
        <item x="3"/>
        <item x="19"/>
        <item x="31"/>
        <item x="1"/>
        <item x="9"/>
        <item x="30"/>
        <item t="default"/>
      </items>
    </pivotField>
    <pivotField showAll="0"/>
    <pivotField showAll="0"/>
    <pivotField numFmtId="165" showAll="0"/>
    <pivotField numFmtId="165" showAll="0"/>
    <pivotField dataField="1" showAll="0"/>
    <pivotField showAll="0"/>
    <pivotField showAll="0"/>
    <pivotField showAll="0"/>
  </pivotFields>
  <rowFields count="1">
    <field x="0"/>
  </rowFields>
  <rowItems count="10">
    <i>
      <x v="2"/>
    </i>
    <i>
      <x v="4"/>
    </i>
    <i>
      <x v="9"/>
    </i>
    <i>
      <x v="11"/>
    </i>
    <i>
      <x v="12"/>
    </i>
    <i>
      <x v="14"/>
    </i>
    <i>
      <x v="15"/>
    </i>
    <i>
      <x v="16"/>
    </i>
    <i>
      <x v="20"/>
    </i>
    <i>
      <x v="21"/>
    </i>
  </rowItems>
  <colItems count="1">
    <i/>
  </colItems>
  <dataFields count="1">
    <dataField name="Sum of Incentive Amount" fld="6" baseField="0" baseItem="0"/>
  </dataFields>
  <formats count="16">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outline="0" axis="axisValues" fieldPosition="0"/>
    </format>
    <format dxfId="29">
      <pivotArea dataOnly="0" labelOnly="1" fieldPosition="0">
        <references count="1">
          <reference field="0" count="0"/>
        </references>
      </pivotArea>
    </format>
    <format dxfId="28">
      <pivotArea dataOnly="0" labelOnly="1" grandRow="1" outline="0" fieldPosition="0"/>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outline="0" axis="axisValues" fieldPosition="0"/>
    </format>
    <format dxfId="23">
      <pivotArea dataOnly="0" labelOnly="1" fieldPosition="0">
        <references count="1">
          <reference field="0" count="0"/>
        </references>
      </pivotArea>
    </format>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outline="0" axis="axisValues" fieldPosition="0"/>
    </format>
    <format dxfId="18">
      <pivotArea dataOnly="0" labelOnly="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_Month" sourceName="Year-Month">
  <pivotTables>
    <pivotTable tabId="5" name="incentive_salesperson"/>
    <pivotTable tabId="5" name="Monthly_performance"/>
    <pivotTable tabId="3" name="PivotTable1"/>
  </pivotTables>
  <data>
    <tabular pivotCacheId="1">
      <items count="38">
        <i x="7" s="1"/>
        <i x="32" s="1"/>
        <i x="8" s="1"/>
        <i x="20" s="1"/>
        <i x="11" s="1"/>
        <i x="34" s="1"/>
        <i x="27" s="1"/>
        <i x="18" s="1"/>
        <i x="22" s="1"/>
        <i x="2" s="1"/>
        <i x="36" s="1"/>
        <i x="4" s="1"/>
        <i x="35" s="1"/>
        <i x="13" s="1"/>
        <i x="12" s="1"/>
        <i x="26" s="1"/>
        <i x="25" s="1"/>
        <i x="37" s="1"/>
        <i x="33" s="1"/>
        <i x="24" s="1"/>
        <i x="15" s="1"/>
        <i x="5" s="1"/>
        <i x="29" s="1"/>
        <i x="14" s="1"/>
        <i x="28" s="1"/>
        <i x="23" s="1"/>
        <i x="0" s="1"/>
        <i x="17" s="1"/>
        <i x="21" s="1"/>
        <i x="6" s="1"/>
        <i x="16" s="1"/>
        <i x="10" s="1"/>
        <i x="3" s="1"/>
        <i x="19" s="1"/>
        <i x="31" s="1"/>
        <i x="1" s="1"/>
        <i x="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marks" sourceName="Remarks">
  <pivotTables>
    <pivotTable tabId="5" name="Monthly_performance"/>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Month" cache="Slicer_Year_Month" caption="Year-Month" rowHeight="241300"/>
  <slicer name="Remarks" cache="Slicer_Remarks" caption="Remarks" rowHeight="241300"/>
</slicers>
</file>

<file path=xl/tables/table1.xml><?xml version="1.0" encoding="utf-8"?>
<table xmlns="http://schemas.openxmlformats.org/spreadsheetml/2006/main" id="1" name="Table1" displayName="Table1" ref="A1:M101" totalsRowShown="0" headerRowDxfId="63">
  <autoFilter ref="A1:M101"/>
  <tableColumns count="13">
    <tableColumn id="1" name="Order ID"/>
    <tableColumn id="2" name="SALES PERSON"/>
    <tableColumn id="3" name="CustomerName"/>
    <tableColumn id="4" name="State"/>
    <tableColumn id="5" name="City"/>
    <tableColumn id="6" name="Category"/>
    <tableColumn id="7" name="Sub category"/>
    <tableColumn id="8" name="Quatity"/>
    <tableColumn id="9" name="Amount" dataDxfId="62"/>
    <tableColumn id="10" name="Profit" dataDxfId="61"/>
    <tableColumn id="11" name="PaymentMode"/>
    <tableColumn id="12" name="Order Date" dataDxfId="60"/>
    <tableColumn id="13" name="Year-Month"/>
  </tableColumns>
  <tableStyleInfo name="TableStyleLight20" showFirstColumn="0" showLastColumn="0" showRowStripes="1" showColumnStripes="0"/>
</table>
</file>

<file path=xl/tables/table2.xml><?xml version="1.0" encoding="utf-8"?>
<table xmlns="http://schemas.openxmlformats.org/spreadsheetml/2006/main" id="2" name="Table2" displayName="Table2" ref="A1:C101" totalsRowShown="0" headerRowDxfId="59">
  <autoFilter ref="A1:C101"/>
  <tableColumns count="3">
    <tableColumn id="1" name="SALES PERSON"/>
    <tableColumn id="2" name="Year month"/>
    <tableColumn id="3" name="TARGET "/>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C5" totalsRowShown="0" headerRowDxfId="42" dataDxfId="41" tableBorderDxfId="40">
  <autoFilter ref="A1:C5"/>
  <tableColumns count="3">
    <tableColumn id="1" name="Min %" dataDxfId="39"/>
    <tableColumn id="2" name="Max %" dataDxfId="38"/>
    <tableColumn id="3" name="Incentive %" dataDxfId="37"/>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J101" totalsRowShown="0" headerRowDxfId="36">
  <autoFilter ref="A1:J101"/>
  <tableColumns count="10">
    <tableColumn id="1" name="Salesperson"/>
    <tableColumn id="2" name="Year-Month"/>
    <tableColumn id="3" name="Total Sales">
      <calculatedColumnFormula>SUMIFS(Sales_Data!I:I,Sales_Data!B:B,'Incentive summary'!A2,Sales_Data!M:M,'Incentive summary'!B2)</calculatedColumnFormula>
    </tableColumn>
    <tableColumn id="4" name="Target">
      <calculatedColumnFormula>SUMIFS(Targets!C:C, Targets!A:A, A2, Targets!B:B, B2)</calculatedColumnFormula>
    </tableColumn>
    <tableColumn id="5" name="Achievement %" dataDxfId="35">
      <calculatedColumnFormula>IFERROR(C2/D2,0)</calculatedColumnFormula>
    </tableColumn>
    <tableColumn id="6" name="Incentive %" dataDxfId="34">
      <calculatedColumnFormula>VLOOKUP(E2, Incentive!$A$1:$C$5, 3, TRUE)</calculatedColumnFormula>
    </tableColumn>
    <tableColumn id="7" name="Incentive Amount">
      <calculatedColumnFormula>C2*F2</calculatedColumnFormula>
    </tableColumn>
    <tableColumn id="8" name="Incentive eligibility">
      <calculatedColumnFormula>IF(E2&gt;0.8,"Eligible","Not Eligible")</calculatedColumnFormula>
    </tableColumn>
    <tableColumn id="9" name="Performance Band">
      <calculatedColumnFormula>IF(E2&lt;0.8,"Poor",
IF(E2&lt;1,"Average",
IF(E2&lt;1.2,"Good","Excellent")))</calculatedColumnFormula>
    </tableColumn>
    <tableColumn id="10" name="Remarks">
      <calculatedColumnFormula>IF(F2=0,"No incentive",IF(F2=0.05,"Low incentive",IF(F2&gt;0.05,"High incentive")))</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workbookViewId="0">
      <pane ySplit="1" topLeftCell="A2" activePane="bottomLeft" state="frozen"/>
      <selection pane="bottomLeft" activeCell="N88" sqref="N88"/>
    </sheetView>
  </sheetViews>
  <sheetFormatPr defaultRowHeight="14.5"/>
  <cols>
    <col min="1" max="1" width="10" customWidth="1"/>
    <col min="2" max="2" width="16" bestFit="1" customWidth="1"/>
    <col min="3" max="3" width="17.54296875" bestFit="1" customWidth="1"/>
    <col min="4" max="4" width="8.81640625" bestFit="1" customWidth="1"/>
    <col min="5" max="5" width="12.26953125" bestFit="1" customWidth="1"/>
    <col min="6" max="6" width="13.1796875" bestFit="1" customWidth="1"/>
    <col min="7" max="7" width="15.1796875" bestFit="1" customWidth="1"/>
    <col min="8" max="8" width="9.08984375" customWidth="1"/>
    <col min="9" max="9" width="11.90625" style="2" bestFit="1" customWidth="1"/>
    <col min="10" max="10" width="9.26953125" style="2" bestFit="1" customWidth="1"/>
    <col min="11" max="11" width="15.1796875" customWidth="1"/>
    <col min="12" max="12" width="12.1796875" customWidth="1"/>
    <col min="13" max="13" width="12.90625" customWidth="1"/>
  </cols>
  <sheetData>
    <row r="1" spans="1:13">
      <c r="A1" s="4" t="s">
        <v>0</v>
      </c>
      <c r="B1" s="4" t="s">
        <v>204</v>
      </c>
      <c r="C1" s="4" t="s">
        <v>6</v>
      </c>
      <c r="D1" s="4" t="s">
        <v>7</v>
      </c>
      <c r="E1" s="4" t="s">
        <v>8</v>
      </c>
      <c r="F1" s="4" t="s">
        <v>3</v>
      </c>
      <c r="G1" s="4" t="s">
        <v>205</v>
      </c>
      <c r="H1" s="7" t="s">
        <v>206</v>
      </c>
      <c r="I1" s="4" t="s">
        <v>1</v>
      </c>
      <c r="J1" s="7" t="s">
        <v>2</v>
      </c>
      <c r="K1" s="4" t="s">
        <v>4</v>
      </c>
      <c r="L1" s="4" t="s">
        <v>5</v>
      </c>
      <c r="M1" s="4" t="s">
        <v>9</v>
      </c>
    </row>
    <row r="2" spans="1:13">
      <c r="A2" t="s">
        <v>10</v>
      </c>
      <c r="B2" t="s">
        <v>181</v>
      </c>
      <c r="C2" t="s">
        <v>14</v>
      </c>
      <c r="D2" t="s">
        <v>15</v>
      </c>
      <c r="E2" t="s">
        <v>16</v>
      </c>
      <c r="F2" t="s">
        <v>11</v>
      </c>
      <c r="G2" t="s">
        <v>12</v>
      </c>
      <c r="H2">
        <v>5</v>
      </c>
      <c r="I2" s="2">
        <v>9726</v>
      </c>
      <c r="J2" s="2">
        <v>1275</v>
      </c>
      <c r="K2" t="s">
        <v>13</v>
      </c>
      <c r="L2" s="1">
        <v>45104</v>
      </c>
      <c r="M2" t="s">
        <v>17</v>
      </c>
    </row>
    <row r="3" spans="1:13">
      <c r="A3" t="s">
        <v>10</v>
      </c>
      <c r="B3" t="s">
        <v>182</v>
      </c>
      <c r="C3" t="s">
        <v>18</v>
      </c>
      <c r="D3" t="s">
        <v>19</v>
      </c>
      <c r="E3" t="s">
        <v>20</v>
      </c>
      <c r="F3" t="s">
        <v>11</v>
      </c>
      <c r="G3" t="s">
        <v>12</v>
      </c>
      <c r="H3">
        <v>5</v>
      </c>
      <c r="I3" s="2">
        <v>9726</v>
      </c>
      <c r="J3" s="2">
        <v>1275</v>
      </c>
      <c r="K3" t="s">
        <v>13</v>
      </c>
      <c r="L3" s="1">
        <v>45653</v>
      </c>
      <c r="M3" t="s">
        <v>21</v>
      </c>
    </row>
    <row r="4" spans="1:13">
      <c r="A4" t="s">
        <v>10</v>
      </c>
      <c r="B4" t="s">
        <v>183</v>
      </c>
      <c r="C4" t="s">
        <v>22</v>
      </c>
      <c r="D4" t="s">
        <v>23</v>
      </c>
      <c r="E4" t="s">
        <v>24</v>
      </c>
      <c r="F4" t="s">
        <v>11</v>
      </c>
      <c r="G4" t="s">
        <v>12</v>
      </c>
      <c r="H4">
        <v>5</v>
      </c>
      <c r="I4" s="2">
        <v>9726</v>
      </c>
      <c r="J4" s="2">
        <v>1275</v>
      </c>
      <c r="K4" t="s">
        <v>13</v>
      </c>
      <c r="L4" s="1">
        <v>44402</v>
      </c>
      <c r="M4" t="s">
        <v>25</v>
      </c>
    </row>
    <row r="5" spans="1:13">
      <c r="A5" t="s">
        <v>10</v>
      </c>
      <c r="B5" t="s">
        <v>184</v>
      </c>
      <c r="C5" t="s">
        <v>14</v>
      </c>
      <c r="D5" t="s">
        <v>15</v>
      </c>
      <c r="E5" t="s">
        <v>16</v>
      </c>
      <c r="F5" t="s">
        <v>11</v>
      </c>
      <c r="G5" t="s">
        <v>26</v>
      </c>
      <c r="H5">
        <v>14</v>
      </c>
      <c r="I5" s="2">
        <v>4975</v>
      </c>
      <c r="J5" s="2">
        <v>1330</v>
      </c>
      <c r="K5" t="s">
        <v>13</v>
      </c>
      <c r="L5" s="1">
        <v>45104</v>
      </c>
      <c r="M5" t="s">
        <v>17</v>
      </c>
    </row>
    <row r="6" spans="1:13">
      <c r="A6" t="s">
        <v>10</v>
      </c>
      <c r="B6" t="s">
        <v>183</v>
      </c>
      <c r="C6" t="s">
        <v>18</v>
      </c>
      <c r="D6" t="s">
        <v>19</v>
      </c>
      <c r="E6" t="s">
        <v>20</v>
      </c>
      <c r="F6" t="s">
        <v>11</v>
      </c>
      <c r="G6" t="s">
        <v>26</v>
      </c>
      <c r="H6">
        <v>14</v>
      </c>
      <c r="I6" s="2">
        <v>4975</v>
      </c>
      <c r="J6" s="2">
        <v>1330</v>
      </c>
      <c r="K6" t="s">
        <v>13</v>
      </c>
      <c r="L6" s="1">
        <v>45653</v>
      </c>
      <c r="M6" t="s">
        <v>21</v>
      </c>
    </row>
    <row r="7" spans="1:13">
      <c r="A7" t="s">
        <v>10</v>
      </c>
      <c r="B7" t="s">
        <v>184</v>
      </c>
      <c r="C7" t="s">
        <v>22</v>
      </c>
      <c r="D7" t="s">
        <v>23</v>
      </c>
      <c r="E7" t="s">
        <v>24</v>
      </c>
      <c r="F7" t="s">
        <v>11</v>
      </c>
      <c r="G7" t="s">
        <v>26</v>
      </c>
      <c r="H7">
        <v>14</v>
      </c>
      <c r="I7" s="2">
        <v>4975</v>
      </c>
      <c r="J7" s="2">
        <v>1330</v>
      </c>
      <c r="K7" t="s">
        <v>13</v>
      </c>
      <c r="L7" s="1">
        <v>44402</v>
      </c>
      <c r="M7" t="s">
        <v>25</v>
      </c>
    </row>
    <row r="8" spans="1:13">
      <c r="A8" t="s">
        <v>27</v>
      </c>
      <c r="B8" t="s">
        <v>185</v>
      </c>
      <c r="C8" t="s">
        <v>31</v>
      </c>
      <c r="D8" t="s">
        <v>15</v>
      </c>
      <c r="E8" t="s">
        <v>32</v>
      </c>
      <c r="F8" t="s">
        <v>28</v>
      </c>
      <c r="G8" t="s">
        <v>29</v>
      </c>
      <c r="H8">
        <v>12</v>
      </c>
      <c r="I8" s="2">
        <v>1525</v>
      </c>
      <c r="J8" s="2">
        <v>185</v>
      </c>
      <c r="K8" t="s">
        <v>30</v>
      </c>
      <c r="L8" s="1">
        <v>45423</v>
      </c>
      <c r="M8" t="s">
        <v>33</v>
      </c>
    </row>
    <row r="9" spans="1:13">
      <c r="A9" t="s">
        <v>27</v>
      </c>
      <c r="B9" t="s">
        <v>181</v>
      </c>
      <c r="C9" t="s">
        <v>34</v>
      </c>
      <c r="D9" t="s">
        <v>15</v>
      </c>
      <c r="E9" t="s">
        <v>16</v>
      </c>
      <c r="F9" t="s">
        <v>28</v>
      </c>
      <c r="G9" t="s">
        <v>29</v>
      </c>
      <c r="H9">
        <v>12</v>
      </c>
      <c r="I9" s="2">
        <v>1525</v>
      </c>
      <c r="J9" s="2">
        <v>185</v>
      </c>
      <c r="K9" t="s">
        <v>30</v>
      </c>
      <c r="L9" s="1">
        <v>44478</v>
      </c>
      <c r="M9" t="s">
        <v>35</v>
      </c>
    </row>
    <row r="10" spans="1:13">
      <c r="A10" t="s">
        <v>36</v>
      </c>
      <c r="B10" t="s">
        <v>182</v>
      </c>
      <c r="C10" t="s">
        <v>39</v>
      </c>
      <c r="D10" t="s">
        <v>40</v>
      </c>
      <c r="E10" t="s">
        <v>41</v>
      </c>
      <c r="F10" t="s">
        <v>11</v>
      </c>
      <c r="G10" t="s">
        <v>37</v>
      </c>
      <c r="H10">
        <v>10</v>
      </c>
      <c r="I10" s="2">
        <v>883</v>
      </c>
      <c r="J10" s="2">
        <v>117</v>
      </c>
      <c r="K10" t="s">
        <v>38</v>
      </c>
      <c r="L10" s="1">
        <v>44883</v>
      </c>
      <c r="M10" t="s">
        <v>42</v>
      </c>
    </row>
    <row r="11" spans="1:13">
      <c r="A11" t="s">
        <v>36</v>
      </c>
      <c r="B11" t="s">
        <v>183</v>
      </c>
      <c r="C11" t="s">
        <v>39</v>
      </c>
      <c r="D11" t="s">
        <v>40</v>
      </c>
      <c r="E11" t="s">
        <v>41</v>
      </c>
      <c r="F11" t="s">
        <v>43</v>
      </c>
      <c r="G11" t="s">
        <v>217</v>
      </c>
      <c r="H11">
        <v>16</v>
      </c>
      <c r="I11" s="2">
        <v>8127</v>
      </c>
      <c r="J11" s="2">
        <v>3551</v>
      </c>
      <c r="K11" t="s">
        <v>45</v>
      </c>
      <c r="L11" s="1">
        <v>44883</v>
      </c>
      <c r="M11" t="s">
        <v>42</v>
      </c>
    </row>
    <row r="12" spans="1:13">
      <c r="A12" t="s">
        <v>46</v>
      </c>
      <c r="B12" t="s">
        <v>184</v>
      </c>
      <c r="C12" t="s">
        <v>48</v>
      </c>
      <c r="D12" t="s">
        <v>23</v>
      </c>
      <c r="E12" t="s">
        <v>49</v>
      </c>
      <c r="F12" t="s">
        <v>43</v>
      </c>
      <c r="G12" t="s">
        <v>47</v>
      </c>
      <c r="H12">
        <v>19</v>
      </c>
      <c r="I12" s="2">
        <v>2516</v>
      </c>
      <c r="J12" s="2">
        <v>734</v>
      </c>
      <c r="K12" t="s">
        <v>13</v>
      </c>
      <c r="L12" s="1">
        <v>45242</v>
      </c>
      <c r="M12" t="s">
        <v>50</v>
      </c>
    </row>
    <row r="13" spans="1:13">
      <c r="A13" t="s">
        <v>51</v>
      </c>
      <c r="B13" t="s">
        <v>185</v>
      </c>
      <c r="C13" t="s">
        <v>52</v>
      </c>
      <c r="D13" t="s">
        <v>23</v>
      </c>
      <c r="E13" t="s">
        <v>49</v>
      </c>
      <c r="F13" t="s">
        <v>28</v>
      </c>
      <c r="G13" t="s">
        <v>29</v>
      </c>
      <c r="H13">
        <v>14</v>
      </c>
      <c r="I13" s="2">
        <v>2975</v>
      </c>
      <c r="J13" s="2">
        <v>462</v>
      </c>
      <c r="K13" t="s">
        <v>45</v>
      </c>
      <c r="L13" s="1">
        <v>43913</v>
      </c>
      <c r="M13" t="s">
        <v>53</v>
      </c>
    </row>
    <row r="14" spans="1:13">
      <c r="A14" t="s">
        <v>54</v>
      </c>
      <c r="B14" t="s">
        <v>186</v>
      </c>
      <c r="C14" t="s">
        <v>56</v>
      </c>
      <c r="D14" t="s">
        <v>15</v>
      </c>
      <c r="E14" t="s">
        <v>32</v>
      </c>
      <c r="F14" t="s">
        <v>28</v>
      </c>
      <c r="G14" t="s">
        <v>55</v>
      </c>
      <c r="H14">
        <v>1</v>
      </c>
      <c r="I14" s="2">
        <v>6851</v>
      </c>
      <c r="J14" s="2">
        <v>2812</v>
      </c>
      <c r="K14" t="s">
        <v>30</v>
      </c>
      <c r="L14" s="1">
        <v>43955</v>
      </c>
      <c r="M14" t="s">
        <v>57</v>
      </c>
    </row>
    <row r="15" spans="1:13">
      <c r="A15" t="s">
        <v>54</v>
      </c>
      <c r="B15" t="s">
        <v>185</v>
      </c>
      <c r="C15" t="s">
        <v>56</v>
      </c>
      <c r="D15" t="s">
        <v>15</v>
      </c>
      <c r="E15" t="s">
        <v>32</v>
      </c>
      <c r="F15" t="s">
        <v>43</v>
      </c>
      <c r="G15" t="s">
        <v>58</v>
      </c>
      <c r="H15">
        <v>15</v>
      </c>
      <c r="I15" s="2">
        <v>7626</v>
      </c>
      <c r="J15" s="2">
        <v>1046</v>
      </c>
      <c r="K15" t="s">
        <v>45</v>
      </c>
      <c r="L15" s="1">
        <v>43955</v>
      </c>
      <c r="M15" t="s">
        <v>57</v>
      </c>
    </row>
    <row r="16" spans="1:13">
      <c r="A16" t="s">
        <v>54</v>
      </c>
      <c r="B16" t="s">
        <v>186</v>
      </c>
      <c r="C16" t="s">
        <v>56</v>
      </c>
      <c r="D16" t="s">
        <v>15</v>
      </c>
      <c r="E16" t="s">
        <v>32</v>
      </c>
      <c r="F16" t="s">
        <v>43</v>
      </c>
      <c r="G16" t="s">
        <v>44</v>
      </c>
      <c r="H16">
        <v>9</v>
      </c>
      <c r="I16" s="2">
        <v>1023</v>
      </c>
      <c r="J16" s="2">
        <v>78</v>
      </c>
      <c r="K16" t="s">
        <v>13</v>
      </c>
      <c r="L16" s="1">
        <v>43955</v>
      </c>
      <c r="M16" t="s">
        <v>57</v>
      </c>
    </row>
    <row r="17" spans="1:13">
      <c r="A17" t="s">
        <v>59</v>
      </c>
      <c r="B17" t="s">
        <v>187</v>
      </c>
      <c r="C17" t="s">
        <v>60</v>
      </c>
      <c r="D17" t="s">
        <v>19</v>
      </c>
      <c r="E17" t="s">
        <v>61</v>
      </c>
      <c r="F17" t="s">
        <v>28</v>
      </c>
      <c r="G17" t="s">
        <v>29</v>
      </c>
      <c r="H17">
        <v>10</v>
      </c>
      <c r="I17" s="2">
        <v>7600</v>
      </c>
      <c r="J17" s="2">
        <v>1098</v>
      </c>
      <c r="K17" t="s">
        <v>13</v>
      </c>
      <c r="L17" s="1">
        <v>45239</v>
      </c>
      <c r="M17" t="s">
        <v>50</v>
      </c>
    </row>
    <row r="18" spans="1:13">
      <c r="A18" t="s">
        <v>59</v>
      </c>
      <c r="B18" t="s">
        <v>188</v>
      </c>
      <c r="C18" t="s">
        <v>60</v>
      </c>
      <c r="D18" t="s">
        <v>19</v>
      </c>
      <c r="E18" t="s">
        <v>61</v>
      </c>
      <c r="F18" t="s">
        <v>28</v>
      </c>
      <c r="G18" t="s">
        <v>62</v>
      </c>
      <c r="H18">
        <v>18</v>
      </c>
      <c r="I18" s="2">
        <v>7501</v>
      </c>
      <c r="J18" s="2">
        <v>262</v>
      </c>
      <c r="K18" t="s">
        <v>63</v>
      </c>
      <c r="L18" s="1">
        <v>45239</v>
      </c>
      <c r="M18" t="s">
        <v>50</v>
      </c>
    </row>
    <row r="19" spans="1:13">
      <c r="A19" t="s">
        <v>64</v>
      </c>
      <c r="B19" t="s">
        <v>189</v>
      </c>
      <c r="C19" t="s">
        <v>65</v>
      </c>
      <c r="D19" t="s">
        <v>23</v>
      </c>
      <c r="E19" t="s">
        <v>66</v>
      </c>
      <c r="F19" t="s">
        <v>28</v>
      </c>
      <c r="G19" t="s">
        <v>62</v>
      </c>
      <c r="H19">
        <v>6</v>
      </c>
      <c r="I19" s="2">
        <v>725</v>
      </c>
      <c r="J19" s="2">
        <v>133</v>
      </c>
      <c r="K19" t="s">
        <v>45</v>
      </c>
      <c r="L19" s="1">
        <v>45656</v>
      </c>
      <c r="M19" t="s">
        <v>21</v>
      </c>
    </row>
    <row r="20" spans="1:13">
      <c r="A20" t="s">
        <v>64</v>
      </c>
      <c r="B20" t="s">
        <v>190</v>
      </c>
      <c r="C20" t="s">
        <v>65</v>
      </c>
      <c r="D20" t="s">
        <v>23</v>
      </c>
      <c r="E20" t="s">
        <v>66</v>
      </c>
      <c r="F20" t="s">
        <v>43</v>
      </c>
      <c r="G20" t="s">
        <v>44</v>
      </c>
      <c r="H20">
        <v>2</v>
      </c>
      <c r="I20" s="2">
        <v>7201</v>
      </c>
      <c r="J20" s="2">
        <v>2685</v>
      </c>
      <c r="K20" t="s">
        <v>45</v>
      </c>
      <c r="L20" s="1">
        <v>45656</v>
      </c>
      <c r="M20" t="s">
        <v>21</v>
      </c>
    </row>
    <row r="21" spans="1:13">
      <c r="A21" t="s">
        <v>67</v>
      </c>
      <c r="B21" t="s">
        <v>185</v>
      </c>
      <c r="C21" t="s">
        <v>68</v>
      </c>
      <c r="D21" t="s">
        <v>69</v>
      </c>
      <c r="E21" t="s">
        <v>70</v>
      </c>
      <c r="F21" t="s">
        <v>28</v>
      </c>
      <c r="G21" t="s">
        <v>62</v>
      </c>
      <c r="H21">
        <v>1</v>
      </c>
      <c r="I21" s="2">
        <v>1629</v>
      </c>
      <c r="J21" s="2">
        <v>265</v>
      </c>
      <c r="K21" t="s">
        <v>13</v>
      </c>
      <c r="L21" s="1">
        <v>45699</v>
      </c>
      <c r="M21" t="s">
        <v>71</v>
      </c>
    </row>
    <row r="22" spans="1:13">
      <c r="A22" t="s">
        <v>67</v>
      </c>
      <c r="B22" t="s">
        <v>186</v>
      </c>
      <c r="C22" t="s">
        <v>72</v>
      </c>
      <c r="D22" t="s">
        <v>40</v>
      </c>
      <c r="E22" t="s">
        <v>73</v>
      </c>
      <c r="F22" t="s">
        <v>28</v>
      </c>
      <c r="G22" t="s">
        <v>62</v>
      </c>
      <c r="H22">
        <v>1</v>
      </c>
      <c r="I22" s="2">
        <v>1629</v>
      </c>
      <c r="J22" s="2">
        <v>265</v>
      </c>
      <c r="K22" t="s">
        <v>13</v>
      </c>
      <c r="L22" s="1">
        <v>45314</v>
      </c>
      <c r="M22" t="s">
        <v>74</v>
      </c>
    </row>
    <row r="23" spans="1:13">
      <c r="A23" t="s">
        <v>75</v>
      </c>
      <c r="B23" t="s">
        <v>187</v>
      </c>
      <c r="C23" t="s">
        <v>77</v>
      </c>
      <c r="D23" t="s">
        <v>40</v>
      </c>
      <c r="E23" t="s">
        <v>73</v>
      </c>
      <c r="F23" t="s">
        <v>28</v>
      </c>
      <c r="G23" t="s">
        <v>76</v>
      </c>
      <c r="H23">
        <v>19</v>
      </c>
      <c r="I23" s="2">
        <v>8971</v>
      </c>
      <c r="J23" s="2">
        <v>2971</v>
      </c>
      <c r="K23" t="s">
        <v>30</v>
      </c>
      <c r="L23" s="1">
        <v>44163</v>
      </c>
      <c r="M23" t="s">
        <v>78</v>
      </c>
    </row>
    <row r="24" spans="1:13">
      <c r="A24" t="s">
        <v>75</v>
      </c>
      <c r="B24" t="s">
        <v>188</v>
      </c>
      <c r="C24" t="s">
        <v>77</v>
      </c>
      <c r="D24" t="s">
        <v>40</v>
      </c>
      <c r="E24" t="s">
        <v>73</v>
      </c>
      <c r="F24" t="s">
        <v>28</v>
      </c>
      <c r="G24" t="s">
        <v>76</v>
      </c>
      <c r="H24">
        <v>20</v>
      </c>
      <c r="I24" s="2">
        <v>2939</v>
      </c>
      <c r="J24" s="2">
        <v>894</v>
      </c>
      <c r="K24" t="s">
        <v>63</v>
      </c>
      <c r="L24" s="1">
        <v>44163</v>
      </c>
      <c r="M24" t="s">
        <v>78</v>
      </c>
    </row>
    <row r="25" spans="1:13">
      <c r="A25" t="s">
        <v>79</v>
      </c>
      <c r="B25" t="s">
        <v>189</v>
      </c>
      <c r="C25" t="s">
        <v>81</v>
      </c>
      <c r="D25" t="s">
        <v>23</v>
      </c>
      <c r="E25" t="s">
        <v>66</v>
      </c>
      <c r="F25" t="s">
        <v>11</v>
      </c>
      <c r="G25" t="s">
        <v>80</v>
      </c>
      <c r="H25">
        <v>11</v>
      </c>
      <c r="I25" s="2">
        <v>9380</v>
      </c>
      <c r="J25" s="2">
        <v>414</v>
      </c>
      <c r="K25" t="s">
        <v>13</v>
      </c>
      <c r="L25" s="1">
        <v>45442</v>
      </c>
      <c r="M25" t="s">
        <v>33</v>
      </c>
    </row>
    <row r="26" spans="1:13">
      <c r="A26" t="s">
        <v>79</v>
      </c>
      <c r="B26" t="s">
        <v>190</v>
      </c>
      <c r="C26" t="s">
        <v>81</v>
      </c>
      <c r="D26" t="s">
        <v>23</v>
      </c>
      <c r="E26" t="s">
        <v>66</v>
      </c>
      <c r="F26" t="s">
        <v>28</v>
      </c>
      <c r="G26" t="s">
        <v>76</v>
      </c>
      <c r="H26">
        <v>18</v>
      </c>
      <c r="I26" s="2">
        <v>8558</v>
      </c>
      <c r="J26" s="2">
        <v>1644</v>
      </c>
      <c r="K26" t="s">
        <v>45</v>
      </c>
      <c r="L26" s="1">
        <v>45442</v>
      </c>
      <c r="M26" t="s">
        <v>33</v>
      </c>
    </row>
    <row r="27" spans="1:13">
      <c r="A27" t="s">
        <v>79</v>
      </c>
      <c r="B27" t="s">
        <v>191</v>
      </c>
      <c r="C27" t="s">
        <v>81</v>
      </c>
      <c r="D27" t="s">
        <v>23</v>
      </c>
      <c r="E27" t="s">
        <v>66</v>
      </c>
      <c r="F27" t="s">
        <v>28</v>
      </c>
      <c r="G27" t="s">
        <v>62</v>
      </c>
      <c r="H27">
        <v>17</v>
      </c>
      <c r="I27" s="2">
        <v>4080</v>
      </c>
      <c r="J27" s="2">
        <v>72</v>
      </c>
      <c r="K27" t="s">
        <v>63</v>
      </c>
      <c r="L27" s="1">
        <v>45442</v>
      </c>
      <c r="M27" t="s">
        <v>33</v>
      </c>
    </row>
    <row r="28" spans="1:13">
      <c r="A28" t="s">
        <v>82</v>
      </c>
      <c r="B28" t="s">
        <v>192</v>
      </c>
      <c r="C28" t="s">
        <v>83</v>
      </c>
      <c r="D28" t="s">
        <v>69</v>
      </c>
      <c r="E28" t="s">
        <v>84</v>
      </c>
      <c r="F28" t="s">
        <v>11</v>
      </c>
      <c r="G28" t="s">
        <v>12</v>
      </c>
      <c r="H28">
        <v>17</v>
      </c>
      <c r="I28" s="2">
        <v>4206</v>
      </c>
      <c r="J28" s="2">
        <v>1821</v>
      </c>
      <c r="K28" t="s">
        <v>38</v>
      </c>
      <c r="L28" s="1">
        <v>44584</v>
      </c>
      <c r="M28" t="s">
        <v>85</v>
      </c>
    </row>
    <row r="29" spans="1:13">
      <c r="A29" t="s">
        <v>86</v>
      </c>
      <c r="B29" t="s">
        <v>193</v>
      </c>
      <c r="C29" t="s">
        <v>87</v>
      </c>
      <c r="D29" t="s">
        <v>23</v>
      </c>
      <c r="E29" t="s">
        <v>49</v>
      </c>
      <c r="F29" t="s">
        <v>28</v>
      </c>
      <c r="G29" t="s">
        <v>76</v>
      </c>
      <c r="H29">
        <v>20</v>
      </c>
      <c r="I29" s="2">
        <v>5219</v>
      </c>
      <c r="J29" s="2">
        <v>1180</v>
      </c>
      <c r="K29" t="s">
        <v>63</v>
      </c>
      <c r="L29" s="1">
        <v>44547</v>
      </c>
      <c r="M29" t="s">
        <v>88</v>
      </c>
    </row>
    <row r="30" spans="1:13">
      <c r="A30" t="s">
        <v>86</v>
      </c>
      <c r="B30" t="s">
        <v>194</v>
      </c>
      <c r="C30" t="s">
        <v>89</v>
      </c>
      <c r="D30" t="s">
        <v>40</v>
      </c>
      <c r="E30" t="s">
        <v>90</v>
      </c>
      <c r="F30" t="s">
        <v>28</v>
      </c>
      <c r="G30" t="s">
        <v>76</v>
      </c>
      <c r="H30">
        <v>20</v>
      </c>
      <c r="I30" s="2">
        <v>5219</v>
      </c>
      <c r="J30" s="2">
        <v>1180</v>
      </c>
      <c r="K30" t="s">
        <v>63</v>
      </c>
      <c r="L30" s="1">
        <v>44960</v>
      </c>
      <c r="M30" t="s">
        <v>91</v>
      </c>
    </row>
    <row r="31" spans="1:13">
      <c r="A31" t="s">
        <v>92</v>
      </c>
      <c r="B31" t="s">
        <v>195</v>
      </c>
      <c r="C31" t="s">
        <v>93</v>
      </c>
      <c r="D31" t="s">
        <v>40</v>
      </c>
      <c r="E31" t="s">
        <v>90</v>
      </c>
      <c r="F31" t="s">
        <v>28</v>
      </c>
      <c r="G31" t="s">
        <v>29</v>
      </c>
      <c r="H31">
        <v>20</v>
      </c>
      <c r="I31" s="2">
        <v>3686</v>
      </c>
      <c r="J31" s="2">
        <v>760</v>
      </c>
      <c r="K31" t="s">
        <v>30</v>
      </c>
      <c r="L31" s="1">
        <v>44864</v>
      </c>
      <c r="M31" t="s">
        <v>94</v>
      </c>
    </row>
    <row r="32" spans="1:13">
      <c r="A32" t="s">
        <v>92</v>
      </c>
      <c r="B32" t="s">
        <v>196</v>
      </c>
      <c r="C32" t="s">
        <v>95</v>
      </c>
      <c r="D32" t="s">
        <v>96</v>
      </c>
      <c r="E32" t="s">
        <v>97</v>
      </c>
      <c r="F32" t="s">
        <v>28</v>
      </c>
      <c r="G32" t="s">
        <v>29</v>
      </c>
      <c r="H32">
        <v>20</v>
      </c>
      <c r="I32" s="2">
        <v>3686</v>
      </c>
      <c r="J32" s="2">
        <v>760</v>
      </c>
      <c r="K32" t="s">
        <v>30</v>
      </c>
      <c r="L32" s="1">
        <v>44576</v>
      </c>
      <c r="M32" t="s">
        <v>85</v>
      </c>
    </row>
    <row r="33" spans="1:13">
      <c r="A33" t="s">
        <v>98</v>
      </c>
      <c r="B33" t="s">
        <v>197</v>
      </c>
      <c r="C33" t="s">
        <v>99</v>
      </c>
      <c r="D33" t="s">
        <v>15</v>
      </c>
      <c r="E33" t="s">
        <v>32</v>
      </c>
      <c r="F33" t="s">
        <v>28</v>
      </c>
      <c r="G33" t="s">
        <v>62</v>
      </c>
      <c r="H33">
        <v>4</v>
      </c>
      <c r="I33" s="2">
        <v>6045</v>
      </c>
      <c r="J33" s="2">
        <v>1606</v>
      </c>
      <c r="K33" t="s">
        <v>63</v>
      </c>
      <c r="L33" s="1">
        <v>45274</v>
      </c>
      <c r="M33" t="s">
        <v>100</v>
      </c>
    </row>
    <row r="34" spans="1:13">
      <c r="A34" t="s">
        <v>98</v>
      </c>
      <c r="B34" t="s">
        <v>198</v>
      </c>
      <c r="C34" t="s">
        <v>99</v>
      </c>
      <c r="D34" t="s">
        <v>15</v>
      </c>
      <c r="E34" t="s">
        <v>32</v>
      </c>
      <c r="F34" t="s">
        <v>28</v>
      </c>
      <c r="G34" t="s">
        <v>29</v>
      </c>
      <c r="H34">
        <v>11</v>
      </c>
      <c r="I34" s="2">
        <v>9337</v>
      </c>
      <c r="J34" s="2">
        <v>554</v>
      </c>
      <c r="K34" t="s">
        <v>63</v>
      </c>
      <c r="L34" s="1">
        <v>45274</v>
      </c>
      <c r="M34" t="s">
        <v>100</v>
      </c>
    </row>
    <row r="35" spans="1:13">
      <c r="A35" t="s">
        <v>101</v>
      </c>
      <c r="B35" t="s">
        <v>199</v>
      </c>
      <c r="C35" t="s">
        <v>102</v>
      </c>
      <c r="D35" t="s">
        <v>40</v>
      </c>
      <c r="E35" t="s">
        <v>73</v>
      </c>
      <c r="F35" t="s">
        <v>11</v>
      </c>
      <c r="G35" t="s">
        <v>80</v>
      </c>
      <c r="H35">
        <v>12</v>
      </c>
      <c r="I35" s="2">
        <v>4051</v>
      </c>
      <c r="J35" s="2">
        <v>1848</v>
      </c>
      <c r="K35" t="s">
        <v>45</v>
      </c>
      <c r="L35" s="1">
        <v>45110</v>
      </c>
      <c r="M35" t="s">
        <v>103</v>
      </c>
    </row>
    <row r="36" spans="1:13">
      <c r="A36" t="s">
        <v>101</v>
      </c>
      <c r="B36" t="s">
        <v>200</v>
      </c>
      <c r="C36" t="s">
        <v>104</v>
      </c>
      <c r="D36" t="s">
        <v>96</v>
      </c>
      <c r="E36" t="s">
        <v>105</v>
      </c>
      <c r="F36" t="s">
        <v>11</v>
      </c>
      <c r="G36" t="s">
        <v>80</v>
      </c>
      <c r="H36">
        <v>12</v>
      </c>
      <c r="I36" s="2">
        <v>4051</v>
      </c>
      <c r="J36" s="2">
        <v>1848</v>
      </c>
      <c r="K36" t="s">
        <v>45</v>
      </c>
      <c r="L36" s="1">
        <v>44324</v>
      </c>
      <c r="M36" t="s">
        <v>106</v>
      </c>
    </row>
    <row r="37" spans="1:13">
      <c r="A37" t="s">
        <v>101</v>
      </c>
      <c r="B37" t="s">
        <v>201</v>
      </c>
      <c r="C37" t="s">
        <v>102</v>
      </c>
      <c r="D37" t="s">
        <v>40</v>
      </c>
      <c r="E37" t="s">
        <v>73</v>
      </c>
      <c r="F37" t="s">
        <v>43</v>
      </c>
      <c r="G37" t="s">
        <v>107</v>
      </c>
      <c r="H37">
        <v>11</v>
      </c>
      <c r="I37" s="2">
        <v>5011</v>
      </c>
      <c r="J37" s="2">
        <v>866</v>
      </c>
      <c r="K37" t="s">
        <v>45</v>
      </c>
      <c r="L37" s="1">
        <v>45110</v>
      </c>
      <c r="M37" t="s">
        <v>103</v>
      </c>
    </row>
    <row r="38" spans="1:13">
      <c r="A38" t="s">
        <v>101</v>
      </c>
      <c r="B38" t="s">
        <v>202</v>
      </c>
      <c r="C38" t="s">
        <v>104</v>
      </c>
      <c r="D38" t="s">
        <v>96</v>
      </c>
      <c r="E38" t="s">
        <v>105</v>
      </c>
      <c r="F38" t="s">
        <v>43</v>
      </c>
      <c r="G38" t="s">
        <v>107</v>
      </c>
      <c r="H38">
        <v>11</v>
      </c>
      <c r="I38" s="2">
        <v>5011</v>
      </c>
      <c r="J38" s="2">
        <v>866</v>
      </c>
      <c r="K38" t="s">
        <v>45</v>
      </c>
      <c r="L38" s="1">
        <v>44324</v>
      </c>
      <c r="M38" t="s">
        <v>106</v>
      </c>
    </row>
    <row r="39" spans="1:13">
      <c r="A39" t="s">
        <v>108</v>
      </c>
      <c r="B39" t="s">
        <v>203</v>
      </c>
      <c r="C39" t="s">
        <v>109</v>
      </c>
      <c r="D39" t="s">
        <v>15</v>
      </c>
      <c r="E39" t="s">
        <v>32</v>
      </c>
      <c r="F39" t="s">
        <v>43</v>
      </c>
      <c r="G39" t="s">
        <v>58</v>
      </c>
      <c r="H39">
        <v>15</v>
      </c>
      <c r="I39" s="2">
        <v>3958</v>
      </c>
      <c r="J39" s="2">
        <v>630</v>
      </c>
      <c r="K39" t="s">
        <v>38</v>
      </c>
      <c r="L39" s="1">
        <v>44841</v>
      </c>
      <c r="M39" t="s">
        <v>94</v>
      </c>
    </row>
    <row r="40" spans="1:13">
      <c r="A40" t="s">
        <v>108</v>
      </c>
      <c r="B40" t="s">
        <v>190</v>
      </c>
      <c r="C40" t="s">
        <v>109</v>
      </c>
      <c r="D40" t="s">
        <v>15</v>
      </c>
      <c r="E40" t="s">
        <v>32</v>
      </c>
      <c r="F40" t="s">
        <v>43</v>
      </c>
      <c r="G40" t="s">
        <v>44</v>
      </c>
      <c r="H40">
        <v>1</v>
      </c>
      <c r="I40" s="2">
        <v>3132</v>
      </c>
      <c r="J40" s="2">
        <v>963</v>
      </c>
      <c r="K40" t="s">
        <v>30</v>
      </c>
      <c r="L40" s="1">
        <v>44841</v>
      </c>
      <c r="M40" t="s">
        <v>94</v>
      </c>
    </row>
    <row r="41" spans="1:13">
      <c r="A41" t="s">
        <v>110</v>
      </c>
      <c r="B41" t="s">
        <v>185</v>
      </c>
      <c r="C41" t="s">
        <v>111</v>
      </c>
      <c r="D41" t="s">
        <v>40</v>
      </c>
      <c r="E41" t="s">
        <v>90</v>
      </c>
      <c r="F41" t="s">
        <v>28</v>
      </c>
      <c r="G41" t="s">
        <v>55</v>
      </c>
      <c r="H41">
        <v>12</v>
      </c>
      <c r="I41" s="2">
        <v>7784</v>
      </c>
      <c r="J41" s="2">
        <v>2937</v>
      </c>
      <c r="K41" t="s">
        <v>13</v>
      </c>
      <c r="L41" s="1">
        <v>45510</v>
      </c>
      <c r="M41" t="s">
        <v>112</v>
      </c>
    </row>
    <row r="42" spans="1:13">
      <c r="A42" t="s">
        <v>110</v>
      </c>
      <c r="B42" t="s">
        <v>186</v>
      </c>
      <c r="C42" t="s">
        <v>111</v>
      </c>
      <c r="D42" t="s">
        <v>40</v>
      </c>
      <c r="E42" t="s">
        <v>90</v>
      </c>
      <c r="F42" t="s">
        <v>28</v>
      </c>
      <c r="G42" t="s">
        <v>29</v>
      </c>
      <c r="H42">
        <v>3</v>
      </c>
      <c r="I42" s="2">
        <v>5591</v>
      </c>
      <c r="J42" s="2">
        <v>1696</v>
      </c>
      <c r="K42" t="s">
        <v>63</v>
      </c>
      <c r="L42" s="1">
        <v>45510</v>
      </c>
      <c r="M42" t="s">
        <v>112</v>
      </c>
    </row>
    <row r="43" spans="1:13">
      <c r="A43" t="s">
        <v>110</v>
      </c>
      <c r="B43" t="s">
        <v>187</v>
      </c>
      <c r="C43" t="s">
        <v>111</v>
      </c>
      <c r="D43" t="s">
        <v>40</v>
      </c>
      <c r="E43" t="s">
        <v>90</v>
      </c>
      <c r="F43" t="s">
        <v>11</v>
      </c>
      <c r="G43" t="s">
        <v>12</v>
      </c>
      <c r="H43">
        <v>12</v>
      </c>
      <c r="I43" s="2">
        <v>5122</v>
      </c>
      <c r="J43" s="2">
        <v>2413</v>
      </c>
      <c r="K43" t="s">
        <v>63</v>
      </c>
      <c r="L43" s="1">
        <v>45510</v>
      </c>
      <c r="M43" t="s">
        <v>112</v>
      </c>
    </row>
    <row r="44" spans="1:13">
      <c r="A44" t="s">
        <v>113</v>
      </c>
      <c r="B44" t="s">
        <v>188</v>
      </c>
      <c r="C44" t="s">
        <v>114</v>
      </c>
      <c r="D44" t="s">
        <v>96</v>
      </c>
      <c r="E44" t="s">
        <v>115</v>
      </c>
      <c r="F44" t="s">
        <v>28</v>
      </c>
      <c r="G44" t="s">
        <v>76</v>
      </c>
      <c r="H44">
        <v>8</v>
      </c>
      <c r="I44" s="2">
        <v>8293</v>
      </c>
      <c r="J44" s="2">
        <v>2632</v>
      </c>
      <c r="K44" t="s">
        <v>63</v>
      </c>
      <c r="L44" s="1">
        <v>44566</v>
      </c>
      <c r="M44" t="s">
        <v>85</v>
      </c>
    </row>
    <row r="45" spans="1:13">
      <c r="A45" t="s">
        <v>113</v>
      </c>
      <c r="B45" t="s">
        <v>189</v>
      </c>
      <c r="C45" t="s">
        <v>116</v>
      </c>
      <c r="D45" t="s">
        <v>23</v>
      </c>
      <c r="E45" t="s">
        <v>66</v>
      </c>
      <c r="F45" t="s">
        <v>28</v>
      </c>
      <c r="G45" t="s">
        <v>76</v>
      </c>
      <c r="H45">
        <v>8</v>
      </c>
      <c r="I45" s="2">
        <v>8293</v>
      </c>
      <c r="J45" s="2">
        <v>2632</v>
      </c>
      <c r="K45" t="s">
        <v>63</v>
      </c>
      <c r="L45" s="1">
        <v>44121</v>
      </c>
      <c r="M45" t="s">
        <v>117</v>
      </c>
    </row>
    <row r="46" spans="1:13">
      <c r="A46" t="s">
        <v>113</v>
      </c>
      <c r="B46" t="s">
        <v>190</v>
      </c>
      <c r="C46" t="s">
        <v>118</v>
      </c>
      <c r="D46" t="s">
        <v>40</v>
      </c>
      <c r="E46" t="s">
        <v>41</v>
      </c>
      <c r="F46" t="s">
        <v>28</v>
      </c>
      <c r="G46" t="s">
        <v>76</v>
      </c>
      <c r="H46">
        <v>8</v>
      </c>
      <c r="I46" s="2">
        <v>8293</v>
      </c>
      <c r="J46" s="2">
        <v>2632</v>
      </c>
      <c r="K46" t="s">
        <v>63</v>
      </c>
      <c r="L46" s="1">
        <v>45159</v>
      </c>
      <c r="M46" t="s">
        <v>119</v>
      </c>
    </row>
    <row r="47" spans="1:13">
      <c r="A47" t="s">
        <v>113</v>
      </c>
      <c r="B47" t="s">
        <v>191</v>
      </c>
      <c r="C47" t="s">
        <v>114</v>
      </c>
      <c r="D47" t="s">
        <v>96</v>
      </c>
      <c r="E47" t="s">
        <v>115</v>
      </c>
      <c r="F47" t="s">
        <v>11</v>
      </c>
      <c r="G47" t="s">
        <v>80</v>
      </c>
      <c r="H47">
        <v>17</v>
      </c>
      <c r="I47" s="2">
        <v>2863</v>
      </c>
      <c r="J47" s="2">
        <v>205</v>
      </c>
      <c r="K47" t="s">
        <v>13</v>
      </c>
      <c r="L47" s="1">
        <v>44566</v>
      </c>
      <c r="M47" t="s">
        <v>85</v>
      </c>
    </row>
    <row r="48" spans="1:13">
      <c r="A48" t="s">
        <v>113</v>
      </c>
      <c r="B48" t="s">
        <v>192</v>
      </c>
      <c r="C48" t="s">
        <v>116</v>
      </c>
      <c r="D48" t="s">
        <v>23</v>
      </c>
      <c r="E48" t="s">
        <v>66</v>
      </c>
      <c r="F48" t="s">
        <v>11</v>
      </c>
      <c r="G48" t="s">
        <v>80</v>
      </c>
      <c r="H48">
        <v>17</v>
      </c>
      <c r="I48" s="2">
        <v>2863</v>
      </c>
      <c r="J48" s="2">
        <v>205</v>
      </c>
      <c r="K48" t="s">
        <v>13</v>
      </c>
      <c r="L48" s="1">
        <v>44121</v>
      </c>
      <c r="M48" t="s">
        <v>117</v>
      </c>
    </row>
    <row r="49" spans="1:13">
      <c r="A49" t="s">
        <v>113</v>
      </c>
      <c r="B49" t="s">
        <v>193</v>
      </c>
      <c r="C49" t="s">
        <v>118</v>
      </c>
      <c r="D49" t="s">
        <v>40</v>
      </c>
      <c r="E49" t="s">
        <v>41</v>
      </c>
      <c r="F49" t="s">
        <v>11</v>
      </c>
      <c r="G49" t="s">
        <v>80</v>
      </c>
      <c r="H49">
        <v>17</v>
      </c>
      <c r="I49" s="2">
        <v>2863</v>
      </c>
      <c r="J49" s="2">
        <v>205</v>
      </c>
      <c r="K49" t="s">
        <v>13</v>
      </c>
      <c r="L49" s="1">
        <v>45159</v>
      </c>
      <c r="M49" t="s">
        <v>119</v>
      </c>
    </row>
    <row r="50" spans="1:13">
      <c r="A50" t="s">
        <v>120</v>
      </c>
      <c r="B50" t="s">
        <v>194</v>
      </c>
      <c r="C50" t="s">
        <v>121</v>
      </c>
      <c r="D50" t="s">
        <v>40</v>
      </c>
      <c r="E50" t="s">
        <v>73</v>
      </c>
      <c r="F50" t="s">
        <v>43</v>
      </c>
      <c r="G50" t="s">
        <v>44</v>
      </c>
      <c r="H50">
        <v>6</v>
      </c>
      <c r="I50" s="2">
        <v>3090</v>
      </c>
      <c r="J50" s="2">
        <v>573</v>
      </c>
      <c r="K50" t="s">
        <v>38</v>
      </c>
      <c r="L50" s="1">
        <v>45653</v>
      </c>
      <c r="M50" t="s">
        <v>21</v>
      </c>
    </row>
    <row r="51" spans="1:13">
      <c r="A51" t="s">
        <v>120</v>
      </c>
      <c r="B51" t="s">
        <v>195</v>
      </c>
      <c r="C51" t="s">
        <v>122</v>
      </c>
      <c r="D51" t="s">
        <v>96</v>
      </c>
      <c r="E51" t="s">
        <v>105</v>
      </c>
      <c r="F51" t="s">
        <v>43</v>
      </c>
      <c r="G51" t="s">
        <v>44</v>
      </c>
      <c r="H51">
        <v>6</v>
      </c>
      <c r="I51" s="2">
        <v>3090</v>
      </c>
      <c r="J51" s="2">
        <v>573</v>
      </c>
      <c r="K51" t="s">
        <v>38</v>
      </c>
      <c r="L51" s="1">
        <v>44365</v>
      </c>
      <c r="M51" t="s">
        <v>123</v>
      </c>
    </row>
    <row r="52" spans="1:13">
      <c r="A52" t="s">
        <v>120</v>
      </c>
      <c r="B52" t="s">
        <v>196</v>
      </c>
      <c r="C52" t="s">
        <v>124</v>
      </c>
      <c r="D52" t="s">
        <v>69</v>
      </c>
      <c r="E52" t="s">
        <v>84</v>
      </c>
      <c r="F52" t="s">
        <v>43</v>
      </c>
      <c r="G52" t="s">
        <v>44</v>
      </c>
      <c r="H52">
        <v>6</v>
      </c>
      <c r="I52" s="2">
        <v>3090</v>
      </c>
      <c r="J52" s="2">
        <v>573</v>
      </c>
      <c r="K52" t="s">
        <v>38</v>
      </c>
      <c r="L52" s="1">
        <v>45073</v>
      </c>
      <c r="M52" t="s">
        <v>125</v>
      </c>
    </row>
    <row r="53" spans="1:13">
      <c r="A53" t="s">
        <v>120</v>
      </c>
      <c r="B53" t="s">
        <v>197</v>
      </c>
      <c r="C53" t="s">
        <v>126</v>
      </c>
      <c r="D53" t="s">
        <v>69</v>
      </c>
      <c r="E53" t="s">
        <v>70</v>
      </c>
      <c r="F53" t="s">
        <v>43</v>
      </c>
      <c r="G53" t="s">
        <v>44</v>
      </c>
      <c r="H53">
        <v>6</v>
      </c>
      <c r="I53" s="2">
        <v>3090</v>
      </c>
      <c r="J53" s="2">
        <v>573</v>
      </c>
      <c r="K53" t="s">
        <v>38</v>
      </c>
      <c r="L53" s="1">
        <v>44481</v>
      </c>
      <c r="M53" t="s">
        <v>35</v>
      </c>
    </row>
    <row r="54" spans="1:13">
      <c r="A54" t="s">
        <v>120</v>
      </c>
      <c r="B54" t="s">
        <v>198</v>
      </c>
      <c r="C54" t="s">
        <v>121</v>
      </c>
      <c r="D54" t="s">
        <v>40</v>
      </c>
      <c r="E54" t="s">
        <v>73</v>
      </c>
      <c r="F54" t="s">
        <v>11</v>
      </c>
      <c r="G54" t="s">
        <v>26</v>
      </c>
      <c r="H54">
        <v>5</v>
      </c>
      <c r="I54" s="2">
        <v>9683</v>
      </c>
      <c r="J54" s="2">
        <v>1014</v>
      </c>
      <c r="K54" t="s">
        <v>13</v>
      </c>
      <c r="L54" s="1">
        <v>45653</v>
      </c>
      <c r="M54" t="s">
        <v>21</v>
      </c>
    </row>
    <row r="55" spans="1:13">
      <c r="A55" t="s">
        <v>120</v>
      </c>
      <c r="B55" t="s">
        <v>199</v>
      </c>
      <c r="C55" t="s">
        <v>122</v>
      </c>
      <c r="D55" t="s">
        <v>96</v>
      </c>
      <c r="E55" t="s">
        <v>105</v>
      </c>
      <c r="F55" t="s">
        <v>11</v>
      </c>
      <c r="G55" t="s">
        <v>26</v>
      </c>
      <c r="H55">
        <v>5</v>
      </c>
      <c r="I55" s="2">
        <v>9683</v>
      </c>
      <c r="J55" s="2">
        <v>1014</v>
      </c>
      <c r="K55" t="s">
        <v>13</v>
      </c>
      <c r="L55" s="1">
        <v>44365</v>
      </c>
      <c r="M55" t="s">
        <v>123</v>
      </c>
    </row>
    <row r="56" spans="1:13">
      <c r="A56" t="s">
        <v>120</v>
      </c>
      <c r="B56" t="s">
        <v>200</v>
      </c>
      <c r="C56" t="s">
        <v>124</v>
      </c>
      <c r="D56" t="s">
        <v>69</v>
      </c>
      <c r="E56" t="s">
        <v>84</v>
      </c>
      <c r="F56" t="s">
        <v>11</v>
      </c>
      <c r="G56" t="s">
        <v>26</v>
      </c>
      <c r="H56">
        <v>5</v>
      </c>
      <c r="I56" s="2">
        <v>9683</v>
      </c>
      <c r="J56" s="2">
        <v>1014</v>
      </c>
      <c r="K56" t="s">
        <v>13</v>
      </c>
      <c r="L56" s="1">
        <v>45073</v>
      </c>
      <c r="M56" t="s">
        <v>125</v>
      </c>
    </row>
    <row r="57" spans="1:13">
      <c r="A57" t="s">
        <v>120</v>
      </c>
      <c r="B57" t="s">
        <v>201</v>
      </c>
      <c r="C57" t="s">
        <v>126</v>
      </c>
      <c r="D57" t="s">
        <v>69</v>
      </c>
      <c r="E57" t="s">
        <v>70</v>
      </c>
      <c r="F57" t="s">
        <v>11</v>
      </c>
      <c r="G57" t="s">
        <v>26</v>
      </c>
      <c r="H57">
        <v>5</v>
      </c>
      <c r="I57" s="2">
        <v>9683</v>
      </c>
      <c r="J57" s="2">
        <v>1014</v>
      </c>
      <c r="K57" t="s">
        <v>13</v>
      </c>
      <c r="L57" s="1">
        <v>44481</v>
      </c>
      <c r="M57" t="s">
        <v>35</v>
      </c>
    </row>
    <row r="58" spans="1:13">
      <c r="A58" t="s">
        <v>127</v>
      </c>
      <c r="B58" t="s">
        <v>202</v>
      </c>
      <c r="C58" t="s">
        <v>128</v>
      </c>
      <c r="D58" t="s">
        <v>96</v>
      </c>
      <c r="E58" t="s">
        <v>105</v>
      </c>
      <c r="F58" t="s">
        <v>43</v>
      </c>
      <c r="G58" t="s">
        <v>44</v>
      </c>
      <c r="H58">
        <v>18</v>
      </c>
      <c r="I58" s="2">
        <v>2463</v>
      </c>
      <c r="J58" s="2">
        <v>648</v>
      </c>
      <c r="K58" t="s">
        <v>38</v>
      </c>
      <c r="L58" s="1">
        <v>44823</v>
      </c>
      <c r="M58" t="s">
        <v>129</v>
      </c>
    </row>
    <row r="59" spans="1:13">
      <c r="A59" t="s">
        <v>130</v>
      </c>
      <c r="B59" t="s">
        <v>203</v>
      </c>
      <c r="C59" t="s">
        <v>131</v>
      </c>
      <c r="D59" t="s">
        <v>15</v>
      </c>
      <c r="E59" t="s">
        <v>16</v>
      </c>
      <c r="F59" t="s">
        <v>43</v>
      </c>
      <c r="G59" t="s">
        <v>58</v>
      </c>
      <c r="H59">
        <v>12</v>
      </c>
      <c r="I59" s="2">
        <v>7811</v>
      </c>
      <c r="J59" s="2">
        <v>1538</v>
      </c>
      <c r="K59" t="s">
        <v>63</v>
      </c>
      <c r="L59" s="1">
        <v>44645</v>
      </c>
      <c r="M59" t="s">
        <v>132</v>
      </c>
    </row>
    <row r="60" spans="1:13">
      <c r="A60" t="s">
        <v>133</v>
      </c>
      <c r="B60" t="s">
        <v>194</v>
      </c>
      <c r="C60" t="s">
        <v>134</v>
      </c>
      <c r="D60" t="s">
        <v>15</v>
      </c>
      <c r="E60" t="s">
        <v>32</v>
      </c>
      <c r="F60" t="s">
        <v>43</v>
      </c>
      <c r="G60" t="s">
        <v>44</v>
      </c>
      <c r="H60">
        <v>10</v>
      </c>
      <c r="I60" s="2">
        <v>6139</v>
      </c>
      <c r="J60" s="2">
        <v>451</v>
      </c>
      <c r="K60" t="s">
        <v>30</v>
      </c>
      <c r="L60" s="1">
        <v>44618</v>
      </c>
      <c r="M60" t="s">
        <v>135</v>
      </c>
    </row>
    <row r="61" spans="1:13">
      <c r="A61" t="s">
        <v>133</v>
      </c>
      <c r="B61" t="s">
        <v>195</v>
      </c>
      <c r="C61" t="s">
        <v>89</v>
      </c>
      <c r="D61" t="s">
        <v>69</v>
      </c>
      <c r="E61" t="s">
        <v>136</v>
      </c>
      <c r="F61" t="s">
        <v>43</v>
      </c>
      <c r="G61" t="s">
        <v>44</v>
      </c>
      <c r="H61">
        <v>10</v>
      </c>
      <c r="I61" s="2">
        <v>6139</v>
      </c>
      <c r="J61" s="2">
        <v>451</v>
      </c>
      <c r="K61" t="s">
        <v>30</v>
      </c>
      <c r="L61" s="1">
        <v>44291</v>
      </c>
      <c r="M61" t="s">
        <v>137</v>
      </c>
    </row>
    <row r="62" spans="1:13">
      <c r="A62" t="s">
        <v>133</v>
      </c>
      <c r="B62" t="s">
        <v>196</v>
      </c>
      <c r="C62" t="s">
        <v>134</v>
      </c>
      <c r="D62" t="s">
        <v>15</v>
      </c>
      <c r="E62" t="s">
        <v>32</v>
      </c>
      <c r="F62" t="s">
        <v>43</v>
      </c>
      <c r="G62" t="s">
        <v>47</v>
      </c>
      <c r="H62">
        <v>3</v>
      </c>
      <c r="I62" s="2">
        <v>8636</v>
      </c>
      <c r="J62" s="2">
        <v>3192</v>
      </c>
      <c r="K62" t="s">
        <v>63</v>
      </c>
      <c r="L62" s="1">
        <v>44618</v>
      </c>
      <c r="M62" t="s">
        <v>135</v>
      </c>
    </row>
    <row r="63" spans="1:13">
      <c r="A63" t="s">
        <v>133</v>
      </c>
      <c r="B63" t="s">
        <v>197</v>
      </c>
      <c r="C63" t="s">
        <v>89</v>
      </c>
      <c r="D63" t="s">
        <v>69</v>
      </c>
      <c r="E63" t="s">
        <v>136</v>
      </c>
      <c r="F63" t="s">
        <v>43</v>
      </c>
      <c r="G63" t="s">
        <v>47</v>
      </c>
      <c r="H63">
        <v>3</v>
      </c>
      <c r="I63" s="2">
        <v>8636</v>
      </c>
      <c r="J63" s="2">
        <v>3192</v>
      </c>
      <c r="K63" t="s">
        <v>63</v>
      </c>
      <c r="L63" s="1">
        <v>44291</v>
      </c>
      <c r="M63" t="s">
        <v>137</v>
      </c>
    </row>
    <row r="64" spans="1:13">
      <c r="A64" t="s">
        <v>133</v>
      </c>
      <c r="B64" t="s">
        <v>198</v>
      </c>
      <c r="C64" t="s">
        <v>134</v>
      </c>
      <c r="D64" t="s">
        <v>15</v>
      </c>
      <c r="E64" t="s">
        <v>32</v>
      </c>
      <c r="F64" t="s">
        <v>43</v>
      </c>
      <c r="G64" t="s">
        <v>58</v>
      </c>
      <c r="H64">
        <v>19</v>
      </c>
      <c r="I64" s="2">
        <v>4439</v>
      </c>
      <c r="J64" s="2">
        <v>1712</v>
      </c>
      <c r="K64" t="s">
        <v>45</v>
      </c>
      <c r="L64" s="1">
        <v>44618</v>
      </c>
      <c r="M64" t="s">
        <v>135</v>
      </c>
    </row>
    <row r="65" spans="1:13">
      <c r="A65" t="s">
        <v>133</v>
      </c>
      <c r="B65" t="s">
        <v>199</v>
      </c>
      <c r="C65" t="s">
        <v>89</v>
      </c>
      <c r="D65" t="s">
        <v>69</v>
      </c>
      <c r="E65" t="s">
        <v>136</v>
      </c>
      <c r="F65" t="s">
        <v>43</v>
      </c>
      <c r="G65" t="s">
        <v>58</v>
      </c>
      <c r="H65">
        <v>19</v>
      </c>
      <c r="I65" s="2">
        <v>4439</v>
      </c>
      <c r="J65" s="2">
        <v>1712</v>
      </c>
      <c r="K65" t="s">
        <v>45</v>
      </c>
      <c r="L65" s="1">
        <v>44291</v>
      </c>
      <c r="M65" t="s">
        <v>137</v>
      </c>
    </row>
    <row r="66" spans="1:13">
      <c r="A66" t="s">
        <v>138</v>
      </c>
      <c r="B66" t="s">
        <v>200</v>
      </c>
      <c r="C66" t="s">
        <v>139</v>
      </c>
      <c r="D66" t="s">
        <v>23</v>
      </c>
      <c r="E66" t="s">
        <v>24</v>
      </c>
      <c r="F66" t="s">
        <v>43</v>
      </c>
      <c r="G66" t="s">
        <v>44</v>
      </c>
      <c r="H66">
        <v>20</v>
      </c>
      <c r="I66" s="2">
        <v>1016</v>
      </c>
      <c r="J66" s="2">
        <v>172</v>
      </c>
      <c r="K66" t="s">
        <v>30</v>
      </c>
      <c r="L66" s="1">
        <v>44151</v>
      </c>
      <c r="M66" t="s">
        <v>78</v>
      </c>
    </row>
    <row r="67" spans="1:13">
      <c r="A67" t="s">
        <v>138</v>
      </c>
      <c r="B67" t="s">
        <v>201</v>
      </c>
      <c r="C67" t="s">
        <v>139</v>
      </c>
      <c r="D67" t="s">
        <v>23</v>
      </c>
      <c r="E67" t="s">
        <v>24</v>
      </c>
      <c r="F67" t="s">
        <v>43</v>
      </c>
      <c r="G67" t="s">
        <v>44</v>
      </c>
      <c r="H67">
        <v>14</v>
      </c>
      <c r="I67" s="2">
        <v>5768</v>
      </c>
      <c r="J67" s="2">
        <v>2059</v>
      </c>
      <c r="K67" t="s">
        <v>13</v>
      </c>
      <c r="L67" s="1">
        <v>44151</v>
      </c>
      <c r="M67" t="s">
        <v>78</v>
      </c>
    </row>
    <row r="68" spans="1:13">
      <c r="A68" t="s">
        <v>138</v>
      </c>
      <c r="B68" t="s">
        <v>202</v>
      </c>
      <c r="C68" t="s">
        <v>139</v>
      </c>
      <c r="D68" t="s">
        <v>23</v>
      </c>
      <c r="E68" t="s">
        <v>24</v>
      </c>
      <c r="F68" t="s">
        <v>43</v>
      </c>
      <c r="G68" t="s">
        <v>44</v>
      </c>
      <c r="H68">
        <v>3</v>
      </c>
      <c r="I68" s="2">
        <v>1217</v>
      </c>
      <c r="J68" s="2">
        <v>151</v>
      </c>
      <c r="K68" t="s">
        <v>45</v>
      </c>
      <c r="L68" s="1">
        <v>44151</v>
      </c>
      <c r="M68" t="s">
        <v>78</v>
      </c>
    </row>
    <row r="69" spans="1:13">
      <c r="A69" t="s">
        <v>140</v>
      </c>
      <c r="B69" t="s">
        <v>203</v>
      </c>
      <c r="C69" t="s">
        <v>141</v>
      </c>
      <c r="D69" t="s">
        <v>96</v>
      </c>
      <c r="E69" t="s">
        <v>115</v>
      </c>
      <c r="F69" t="s">
        <v>28</v>
      </c>
      <c r="G69" t="s">
        <v>62</v>
      </c>
      <c r="H69">
        <v>2</v>
      </c>
      <c r="I69" s="2">
        <v>953</v>
      </c>
      <c r="J69" s="2">
        <v>93</v>
      </c>
      <c r="K69" t="s">
        <v>30</v>
      </c>
      <c r="L69" s="1">
        <v>45638</v>
      </c>
      <c r="M69" t="s">
        <v>21</v>
      </c>
    </row>
    <row r="70" spans="1:13">
      <c r="A70" t="s">
        <v>140</v>
      </c>
      <c r="B70" t="s">
        <v>190</v>
      </c>
      <c r="C70" t="s">
        <v>142</v>
      </c>
      <c r="D70" t="s">
        <v>40</v>
      </c>
      <c r="E70" t="s">
        <v>41</v>
      </c>
      <c r="F70" t="s">
        <v>28</v>
      </c>
      <c r="G70" t="s">
        <v>62</v>
      </c>
      <c r="H70">
        <v>2</v>
      </c>
      <c r="I70" s="2">
        <v>953</v>
      </c>
      <c r="J70" s="2">
        <v>93</v>
      </c>
      <c r="K70" t="s">
        <v>30</v>
      </c>
      <c r="L70" s="1">
        <v>45022</v>
      </c>
      <c r="M70" t="s">
        <v>143</v>
      </c>
    </row>
    <row r="71" spans="1:13">
      <c r="A71" t="s">
        <v>140</v>
      </c>
      <c r="B71" t="s">
        <v>185</v>
      </c>
      <c r="C71" t="s">
        <v>141</v>
      </c>
      <c r="D71" t="s">
        <v>96</v>
      </c>
      <c r="E71" t="s">
        <v>115</v>
      </c>
      <c r="F71" t="s">
        <v>43</v>
      </c>
      <c r="G71" t="s">
        <v>58</v>
      </c>
      <c r="H71">
        <v>3</v>
      </c>
      <c r="I71" s="2">
        <v>7355</v>
      </c>
      <c r="J71" s="2">
        <v>1034</v>
      </c>
      <c r="K71" t="s">
        <v>63</v>
      </c>
      <c r="L71" s="1">
        <v>45638</v>
      </c>
      <c r="M71" t="s">
        <v>21</v>
      </c>
    </row>
    <row r="72" spans="1:13">
      <c r="A72" t="s">
        <v>140</v>
      </c>
      <c r="B72" t="s">
        <v>186</v>
      </c>
      <c r="C72" t="s">
        <v>142</v>
      </c>
      <c r="D72" t="s">
        <v>40</v>
      </c>
      <c r="E72" t="s">
        <v>41</v>
      </c>
      <c r="F72" t="s">
        <v>43</v>
      </c>
      <c r="G72" t="s">
        <v>58</v>
      </c>
      <c r="H72">
        <v>3</v>
      </c>
      <c r="I72" s="2">
        <v>7355</v>
      </c>
      <c r="J72" s="2">
        <v>1034</v>
      </c>
      <c r="K72" t="s">
        <v>63</v>
      </c>
      <c r="L72" s="1">
        <v>45022</v>
      </c>
      <c r="M72" t="s">
        <v>143</v>
      </c>
    </row>
    <row r="73" spans="1:13">
      <c r="A73" t="s">
        <v>140</v>
      </c>
      <c r="B73" t="s">
        <v>187</v>
      </c>
      <c r="C73" t="s">
        <v>141</v>
      </c>
      <c r="D73" t="s">
        <v>96</v>
      </c>
      <c r="E73" t="s">
        <v>115</v>
      </c>
      <c r="F73" t="s">
        <v>11</v>
      </c>
      <c r="G73" t="s">
        <v>80</v>
      </c>
      <c r="H73">
        <v>3</v>
      </c>
      <c r="I73" s="2">
        <v>1843</v>
      </c>
      <c r="J73" s="2">
        <v>248</v>
      </c>
      <c r="K73" t="s">
        <v>45</v>
      </c>
      <c r="L73" s="1">
        <v>45638</v>
      </c>
      <c r="M73" t="s">
        <v>21</v>
      </c>
    </row>
    <row r="74" spans="1:13">
      <c r="A74" t="s">
        <v>140</v>
      </c>
      <c r="B74" t="s">
        <v>188</v>
      </c>
      <c r="C74" t="s">
        <v>142</v>
      </c>
      <c r="D74" t="s">
        <v>40</v>
      </c>
      <c r="E74" t="s">
        <v>41</v>
      </c>
      <c r="F74" t="s">
        <v>11</v>
      </c>
      <c r="G74" t="s">
        <v>80</v>
      </c>
      <c r="H74">
        <v>3</v>
      </c>
      <c r="I74" s="2">
        <v>1843</v>
      </c>
      <c r="J74" s="2">
        <v>248</v>
      </c>
      <c r="K74" t="s">
        <v>45</v>
      </c>
      <c r="L74" s="1">
        <v>45022</v>
      </c>
      <c r="M74" t="s">
        <v>143</v>
      </c>
    </row>
    <row r="75" spans="1:13">
      <c r="A75" t="s">
        <v>140</v>
      </c>
      <c r="B75" t="s">
        <v>189</v>
      </c>
      <c r="C75" t="s">
        <v>141</v>
      </c>
      <c r="D75" t="s">
        <v>96</v>
      </c>
      <c r="E75" t="s">
        <v>115</v>
      </c>
      <c r="F75" t="s">
        <v>28</v>
      </c>
      <c r="G75" t="s">
        <v>29</v>
      </c>
      <c r="H75">
        <v>10</v>
      </c>
      <c r="I75" s="2">
        <v>1603</v>
      </c>
      <c r="J75" s="2">
        <v>361</v>
      </c>
      <c r="K75" t="s">
        <v>30</v>
      </c>
      <c r="L75" s="1">
        <v>45638</v>
      </c>
      <c r="M75" t="s">
        <v>21</v>
      </c>
    </row>
    <row r="76" spans="1:13">
      <c r="A76" t="s">
        <v>140</v>
      </c>
      <c r="B76" t="s">
        <v>190</v>
      </c>
      <c r="C76" t="s">
        <v>142</v>
      </c>
      <c r="D76" t="s">
        <v>40</v>
      </c>
      <c r="E76" t="s">
        <v>41</v>
      </c>
      <c r="F76" t="s">
        <v>28</v>
      </c>
      <c r="G76" t="s">
        <v>29</v>
      </c>
      <c r="H76">
        <v>10</v>
      </c>
      <c r="I76" s="2">
        <v>1603</v>
      </c>
      <c r="J76" s="2">
        <v>361</v>
      </c>
      <c r="K76" t="s">
        <v>30</v>
      </c>
      <c r="L76" s="1">
        <v>45022</v>
      </c>
      <c r="M76" t="s">
        <v>143</v>
      </c>
    </row>
    <row r="77" spans="1:13">
      <c r="A77" t="s">
        <v>144</v>
      </c>
      <c r="B77" t="s">
        <v>191</v>
      </c>
      <c r="C77" t="s">
        <v>145</v>
      </c>
      <c r="D77" t="s">
        <v>15</v>
      </c>
      <c r="E77" t="s">
        <v>16</v>
      </c>
      <c r="F77" t="s">
        <v>28</v>
      </c>
      <c r="G77" t="s">
        <v>29</v>
      </c>
      <c r="H77">
        <v>1</v>
      </c>
      <c r="I77" s="2">
        <v>2025</v>
      </c>
      <c r="J77" s="2">
        <v>528</v>
      </c>
      <c r="K77" t="s">
        <v>45</v>
      </c>
      <c r="L77" s="1">
        <v>45319</v>
      </c>
      <c r="M77" t="s">
        <v>74</v>
      </c>
    </row>
    <row r="78" spans="1:13">
      <c r="A78" t="s">
        <v>144</v>
      </c>
      <c r="B78" t="s">
        <v>192</v>
      </c>
      <c r="C78" t="s">
        <v>145</v>
      </c>
      <c r="D78" t="s">
        <v>15</v>
      </c>
      <c r="E78" t="s">
        <v>16</v>
      </c>
      <c r="F78" t="s">
        <v>28</v>
      </c>
      <c r="G78" t="s">
        <v>76</v>
      </c>
      <c r="H78">
        <v>16</v>
      </c>
      <c r="I78" s="2">
        <v>6800</v>
      </c>
      <c r="J78" s="2">
        <v>167</v>
      </c>
      <c r="K78" t="s">
        <v>38</v>
      </c>
      <c r="L78" s="1">
        <v>45319</v>
      </c>
      <c r="M78" t="s">
        <v>74</v>
      </c>
    </row>
    <row r="79" spans="1:13">
      <c r="A79" t="s">
        <v>146</v>
      </c>
      <c r="B79" t="s">
        <v>193</v>
      </c>
      <c r="C79" t="s">
        <v>147</v>
      </c>
      <c r="D79" t="s">
        <v>15</v>
      </c>
      <c r="E79" t="s">
        <v>148</v>
      </c>
      <c r="F79" t="s">
        <v>43</v>
      </c>
      <c r="G79" t="s">
        <v>107</v>
      </c>
      <c r="H79">
        <v>1</v>
      </c>
      <c r="I79" s="2">
        <v>1126</v>
      </c>
      <c r="J79" s="2">
        <v>55</v>
      </c>
      <c r="K79" t="s">
        <v>13</v>
      </c>
      <c r="L79" s="1">
        <v>44577</v>
      </c>
      <c r="M79" t="s">
        <v>85</v>
      </c>
    </row>
    <row r="80" spans="1:13">
      <c r="A80" t="s">
        <v>146</v>
      </c>
      <c r="B80" t="s">
        <v>202</v>
      </c>
      <c r="C80" t="s">
        <v>149</v>
      </c>
      <c r="D80" t="s">
        <v>23</v>
      </c>
      <c r="E80" t="s">
        <v>24</v>
      </c>
      <c r="F80" t="s">
        <v>43</v>
      </c>
      <c r="G80" t="s">
        <v>107</v>
      </c>
      <c r="H80">
        <v>1</v>
      </c>
      <c r="I80" s="2">
        <v>1126</v>
      </c>
      <c r="J80" s="2">
        <v>55</v>
      </c>
      <c r="K80" t="s">
        <v>13</v>
      </c>
      <c r="L80" s="1">
        <v>44911</v>
      </c>
      <c r="M80" t="s">
        <v>150</v>
      </c>
    </row>
    <row r="81" spans="1:13">
      <c r="A81" t="s">
        <v>151</v>
      </c>
      <c r="B81" t="s">
        <v>203</v>
      </c>
      <c r="C81" t="s">
        <v>152</v>
      </c>
      <c r="D81" t="s">
        <v>40</v>
      </c>
      <c r="E81" t="s">
        <v>73</v>
      </c>
      <c r="F81" t="s">
        <v>43</v>
      </c>
      <c r="G81" t="s">
        <v>44</v>
      </c>
      <c r="H81">
        <v>12</v>
      </c>
      <c r="I81" s="2">
        <v>7533</v>
      </c>
      <c r="J81" s="2">
        <v>3508</v>
      </c>
      <c r="K81" t="s">
        <v>13</v>
      </c>
      <c r="L81" s="1">
        <v>45120</v>
      </c>
      <c r="M81" t="s">
        <v>103</v>
      </c>
    </row>
    <row r="82" spans="1:13">
      <c r="A82" t="s">
        <v>151</v>
      </c>
      <c r="B82" t="s">
        <v>190</v>
      </c>
      <c r="C82" t="s">
        <v>152</v>
      </c>
      <c r="D82" t="s">
        <v>40</v>
      </c>
      <c r="E82" t="s">
        <v>73</v>
      </c>
      <c r="F82" t="s">
        <v>28</v>
      </c>
      <c r="G82" t="s">
        <v>76</v>
      </c>
      <c r="H82">
        <v>16</v>
      </c>
      <c r="I82" s="2">
        <v>4734</v>
      </c>
      <c r="J82" s="2">
        <v>1178</v>
      </c>
      <c r="K82" t="s">
        <v>45</v>
      </c>
      <c r="L82" s="1">
        <v>45120</v>
      </c>
      <c r="M82" t="s">
        <v>103</v>
      </c>
    </row>
    <row r="83" spans="1:13">
      <c r="A83" t="s">
        <v>151</v>
      </c>
      <c r="B83" t="s">
        <v>185</v>
      </c>
      <c r="C83" t="s">
        <v>152</v>
      </c>
      <c r="D83" t="s">
        <v>40</v>
      </c>
      <c r="E83" t="s">
        <v>73</v>
      </c>
      <c r="F83" t="s">
        <v>11</v>
      </c>
      <c r="G83" t="s">
        <v>12</v>
      </c>
      <c r="H83">
        <v>6</v>
      </c>
      <c r="I83" s="2">
        <v>4074</v>
      </c>
      <c r="J83" s="2">
        <v>1175</v>
      </c>
      <c r="K83" t="s">
        <v>30</v>
      </c>
      <c r="L83" s="1">
        <v>45120</v>
      </c>
      <c r="M83" t="s">
        <v>103</v>
      </c>
    </row>
    <row r="84" spans="1:13">
      <c r="A84" t="s">
        <v>151</v>
      </c>
      <c r="B84" t="s">
        <v>186</v>
      </c>
      <c r="C84" t="s">
        <v>152</v>
      </c>
      <c r="D84" t="s">
        <v>40</v>
      </c>
      <c r="E84" t="s">
        <v>73</v>
      </c>
      <c r="F84" t="s">
        <v>43</v>
      </c>
      <c r="G84" t="s">
        <v>58</v>
      </c>
      <c r="H84">
        <v>3</v>
      </c>
      <c r="I84" s="2">
        <v>2334</v>
      </c>
      <c r="J84" s="2">
        <v>484</v>
      </c>
      <c r="K84" t="s">
        <v>45</v>
      </c>
      <c r="L84" s="1">
        <v>45120</v>
      </c>
      <c r="M84" t="s">
        <v>103</v>
      </c>
    </row>
    <row r="85" spans="1:13">
      <c r="A85" t="s">
        <v>153</v>
      </c>
      <c r="B85" t="s">
        <v>187</v>
      </c>
      <c r="C85" t="s">
        <v>154</v>
      </c>
      <c r="D85" t="s">
        <v>23</v>
      </c>
      <c r="E85" t="s">
        <v>24</v>
      </c>
      <c r="F85" t="s">
        <v>11</v>
      </c>
      <c r="G85" t="s">
        <v>80</v>
      </c>
      <c r="H85">
        <v>11</v>
      </c>
      <c r="I85" s="2">
        <v>2750</v>
      </c>
      <c r="J85" s="2">
        <v>1239</v>
      </c>
      <c r="K85" t="s">
        <v>30</v>
      </c>
      <c r="L85" s="1">
        <v>45726</v>
      </c>
      <c r="M85" t="s">
        <v>155</v>
      </c>
    </row>
    <row r="86" spans="1:13">
      <c r="A86" t="s">
        <v>153</v>
      </c>
      <c r="B86" t="s">
        <v>188</v>
      </c>
      <c r="C86" t="s">
        <v>156</v>
      </c>
      <c r="D86" t="s">
        <v>96</v>
      </c>
      <c r="E86" t="s">
        <v>115</v>
      </c>
      <c r="F86" t="s">
        <v>11</v>
      </c>
      <c r="G86" t="s">
        <v>80</v>
      </c>
      <c r="H86">
        <v>11</v>
      </c>
      <c r="I86" s="2">
        <v>2750</v>
      </c>
      <c r="J86" s="2">
        <v>1239</v>
      </c>
      <c r="K86" t="s">
        <v>30</v>
      </c>
      <c r="L86" s="1">
        <v>45559</v>
      </c>
      <c r="M86" t="s">
        <v>157</v>
      </c>
    </row>
    <row r="87" spans="1:13">
      <c r="A87" t="s">
        <v>153</v>
      </c>
      <c r="B87" t="s">
        <v>189</v>
      </c>
      <c r="C87" t="s">
        <v>154</v>
      </c>
      <c r="D87" t="s">
        <v>23</v>
      </c>
      <c r="E87" t="s">
        <v>24</v>
      </c>
      <c r="F87" t="s">
        <v>28</v>
      </c>
      <c r="G87" t="s">
        <v>29</v>
      </c>
      <c r="H87">
        <v>19</v>
      </c>
      <c r="I87" s="2">
        <v>8639</v>
      </c>
      <c r="J87" s="2">
        <v>3104</v>
      </c>
      <c r="K87" t="s">
        <v>38</v>
      </c>
      <c r="L87" s="1">
        <v>45726</v>
      </c>
      <c r="M87" t="s">
        <v>155</v>
      </c>
    </row>
    <row r="88" spans="1:13">
      <c r="A88" t="s">
        <v>153</v>
      </c>
      <c r="B88" t="s">
        <v>190</v>
      </c>
      <c r="C88" t="s">
        <v>156</v>
      </c>
      <c r="D88" t="s">
        <v>96</v>
      </c>
      <c r="E88" t="s">
        <v>115</v>
      </c>
      <c r="F88" t="s">
        <v>28</v>
      </c>
      <c r="G88" t="s">
        <v>29</v>
      </c>
      <c r="H88">
        <v>19</v>
      </c>
      <c r="I88" s="2">
        <v>8639</v>
      </c>
      <c r="J88" s="2">
        <v>3104</v>
      </c>
      <c r="K88" t="s">
        <v>38</v>
      </c>
      <c r="L88" s="1">
        <v>45559</v>
      </c>
      <c r="M88" t="s">
        <v>157</v>
      </c>
    </row>
    <row r="89" spans="1:13">
      <c r="A89" t="s">
        <v>158</v>
      </c>
      <c r="B89" t="s">
        <v>191</v>
      </c>
      <c r="C89" t="s">
        <v>159</v>
      </c>
      <c r="D89" t="s">
        <v>23</v>
      </c>
      <c r="E89" t="s">
        <v>49</v>
      </c>
      <c r="F89" t="s">
        <v>28</v>
      </c>
      <c r="G89" t="s">
        <v>55</v>
      </c>
      <c r="H89">
        <v>4</v>
      </c>
      <c r="I89" s="2">
        <v>3808</v>
      </c>
      <c r="J89" s="2">
        <v>1192</v>
      </c>
      <c r="K89" t="s">
        <v>13</v>
      </c>
      <c r="L89" s="1">
        <v>43934</v>
      </c>
      <c r="M89" t="s">
        <v>160</v>
      </c>
    </row>
    <row r="90" spans="1:13">
      <c r="A90" t="s">
        <v>158</v>
      </c>
      <c r="B90" t="s">
        <v>192</v>
      </c>
      <c r="C90" t="s">
        <v>159</v>
      </c>
      <c r="D90" t="s">
        <v>23</v>
      </c>
      <c r="E90" t="s">
        <v>49</v>
      </c>
      <c r="F90" t="s">
        <v>28</v>
      </c>
      <c r="G90" t="s">
        <v>29</v>
      </c>
      <c r="H90">
        <v>16</v>
      </c>
      <c r="I90" s="2">
        <v>2588</v>
      </c>
      <c r="J90" s="2">
        <v>705</v>
      </c>
      <c r="K90" t="s">
        <v>45</v>
      </c>
      <c r="L90" s="1">
        <v>43934</v>
      </c>
      <c r="M90" t="s">
        <v>160</v>
      </c>
    </row>
    <row r="91" spans="1:13">
      <c r="A91" t="s">
        <v>161</v>
      </c>
      <c r="B91" t="s">
        <v>193</v>
      </c>
      <c r="C91" t="s">
        <v>162</v>
      </c>
      <c r="D91" t="s">
        <v>19</v>
      </c>
      <c r="E91" t="s">
        <v>61</v>
      </c>
      <c r="F91" t="s">
        <v>11</v>
      </c>
      <c r="G91" t="s">
        <v>12</v>
      </c>
      <c r="H91">
        <v>5</v>
      </c>
      <c r="I91" s="2">
        <v>1591</v>
      </c>
      <c r="J91" s="2">
        <v>727</v>
      </c>
      <c r="K91" t="s">
        <v>45</v>
      </c>
      <c r="L91" s="1">
        <v>44739</v>
      </c>
      <c r="M91" t="s">
        <v>163</v>
      </c>
    </row>
    <row r="92" spans="1:13">
      <c r="A92" t="s">
        <v>161</v>
      </c>
      <c r="B92" t="s">
        <v>194</v>
      </c>
      <c r="C92" t="s">
        <v>164</v>
      </c>
      <c r="D92" t="s">
        <v>15</v>
      </c>
      <c r="E92" t="s">
        <v>148</v>
      </c>
      <c r="F92" t="s">
        <v>11</v>
      </c>
      <c r="G92" t="s">
        <v>12</v>
      </c>
      <c r="H92">
        <v>5</v>
      </c>
      <c r="I92" s="2">
        <v>1591</v>
      </c>
      <c r="J92" s="2">
        <v>727</v>
      </c>
      <c r="K92" t="s">
        <v>45</v>
      </c>
      <c r="L92" s="1">
        <v>44269</v>
      </c>
      <c r="M92" t="s">
        <v>165</v>
      </c>
    </row>
    <row r="93" spans="1:13">
      <c r="A93" t="s">
        <v>161</v>
      </c>
      <c r="B93" t="s">
        <v>195</v>
      </c>
      <c r="C93" t="s">
        <v>166</v>
      </c>
      <c r="D93" t="s">
        <v>96</v>
      </c>
      <c r="E93" t="s">
        <v>105</v>
      </c>
      <c r="F93" t="s">
        <v>11</v>
      </c>
      <c r="G93" t="s">
        <v>12</v>
      </c>
      <c r="H93">
        <v>5</v>
      </c>
      <c r="I93" s="2">
        <v>1591</v>
      </c>
      <c r="J93" s="2">
        <v>727</v>
      </c>
      <c r="K93" t="s">
        <v>45</v>
      </c>
      <c r="L93" s="1">
        <v>44615</v>
      </c>
      <c r="M93" t="s">
        <v>135</v>
      </c>
    </row>
    <row r="94" spans="1:13">
      <c r="A94" t="s">
        <v>167</v>
      </c>
      <c r="B94" t="s">
        <v>196</v>
      </c>
      <c r="C94" t="s">
        <v>168</v>
      </c>
      <c r="D94" t="s">
        <v>96</v>
      </c>
      <c r="E94" t="s">
        <v>115</v>
      </c>
      <c r="F94" t="s">
        <v>43</v>
      </c>
      <c r="G94" t="s">
        <v>47</v>
      </c>
      <c r="H94">
        <v>10</v>
      </c>
      <c r="I94" s="2">
        <v>1757</v>
      </c>
      <c r="J94" s="2">
        <v>622</v>
      </c>
      <c r="K94" t="s">
        <v>13</v>
      </c>
      <c r="L94" s="1">
        <v>44649</v>
      </c>
      <c r="M94" t="s">
        <v>132</v>
      </c>
    </row>
    <row r="95" spans="1:13">
      <c r="A95" t="s">
        <v>167</v>
      </c>
      <c r="B95" t="s">
        <v>197</v>
      </c>
      <c r="C95" t="s">
        <v>169</v>
      </c>
      <c r="D95" t="s">
        <v>19</v>
      </c>
      <c r="E95" t="s">
        <v>170</v>
      </c>
      <c r="F95" t="s">
        <v>43</v>
      </c>
      <c r="G95" t="s">
        <v>47</v>
      </c>
      <c r="H95">
        <v>10</v>
      </c>
      <c r="I95" s="2">
        <v>1757</v>
      </c>
      <c r="J95" s="2">
        <v>622</v>
      </c>
      <c r="K95" t="s">
        <v>13</v>
      </c>
      <c r="L95" s="1">
        <v>44885</v>
      </c>
      <c r="M95" t="s">
        <v>42</v>
      </c>
    </row>
    <row r="96" spans="1:13">
      <c r="A96" t="s">
        <v>171</v>
      </c>
      <c r="B96" t="s">
        <v>198</v>
      </c>
      <c r="C96" t="s">
        <v>172</v>
      </c>
      <c r="D96" t="s">
        <v>15</v>
      </c>
      <c r="E96" t="s">
        <v>32</v>
      </c>
      <c r="F96" t="s">
        <v>43</v>
      </c>
      <c r="G96" t="s">
        <v>107</v>
      </c>
      <c r="H96">
        <v>15</v>
      </c>
      <c r="I96" s="2">
        <v>6940</v>
      </c>
      <c r="J96" s="2">
        <v>253</v>
      </c>
      <c r="K96" t="s">
        <v>30</v>
      </c>
      <c r="L96" s="1">
        <v>44512</v>
      </c>
      <c r="M96" t="s">
        <v>173</v>
      </c>
    </row>
    <row r="97" spans="1:13">
      <c r="A97" t="s">
        <v>171</v>
      </c>
      <c r="B97" t="s">
        <v>199</v>
      </c>
      <c r="C97" t="s">
        <v>172</v>
      </c>
      <c r="D97" t="s">
        <v>15</v>
      </c>
      <c r="E97" t="s">
        <v>32</v>
      </c>
      <c r="F97" t="s">
        <v>11</v>
      </c>
      <c r="G97" t="s">
        <v>26</v>
      </c>
      <c r="H97">
        <v>5</v>
      </c>
      <c r="I97" s="2">
        <v>5105</v>
      </c>
      <c r="J97" s="2">
        <v>465</v>
      </c>
      <c r="K97" t="s">
        <v>13</v>
      </c>
      <c r="L97" s="1">
        <v>44512</v>
      </c>
      <c r="M97" t="s">
        <v>173</v>
      </c>
    </row>
    <row r="98" spans="1:13">
      <c r="A98" t="s">
        <v>174</v>
      </c>
      <c r="B98" t="s">
        <v>200</v>
      </c>
      <c r="C98" t="s">
        <v>175</v>
      </c>
      <c r="D98" t="s">
        <v>15</v>
      </c>
      <c r="E98" t="s">
        <v>16</v>
      </c>
      <c r="F98" t="s">
        <v>43</v>
      </c>
      <c r="G98" t="s">
        <v>44</v>
      </c>
      <c r="H98">
        <v>16</v>
      </c>
      <c r="I98" s="2">
        <v>5578</v>
      </c>
      <c r="J98" s="2">
        <v>277</v>
      </c>
      <c r="K98" t="s">
        <v>63</v>
      </c>
      <c r="L98" s="1">
        <v>44425</v>
      </c>
      <c r="M98" t="s">
        <v>176</v>
      </c>
    </row>
    <row r="99" spans="1:13">
      <c r="A99" t="s">
        <v>174</v>
      </c>
      <c r="B99" t="s">
        <v>201</v>
      </c>
      <c r="C99" t="s">
        <v>177</v>
      </c>
      <c r="D99" t="s">
        <v>96</v>
      </c>
      <c r="E99" t="s">
        <v>97</v>
      </c>
      <c r="F99" t="s">
        <v>43</v>
      </c>
      <c r="G99" t="s">
        <v>44</v>
      </c>
      <c r="H99">
        <v>16</v>
      </c>
      <c r="I99" s="2">
        <v>5578</v>
      </c>
      <c r="J99" s="2">
        <v>277</v>
      </c>
      <c r="K99" t="s">
        <v>63</v>
      </c>
      <c r="L99" s="1">
        <v>44697</v>
      </c>
      <c r="M99" t="s">
        <v>178</v>
      </c>
    </row>
    <row r="100" spans="1:13">
      <c r="A100" t="s">
        <v>179</v>
      </c>
      <c r="B100" t="s">
        <v>196</v>
      </c>
      <c r="C100" t="s">
        <v>180</v>
      </c>
      <c r="D100" t="s">
        <v>69</v>
      </c>
      <c r="E100" t="s">
        <v>136</v>
      </c>
      <c r="F100" t="s">
        <v>43</v>
      </c>
      <c r="G100" t="s">
        <v>47</v>
      </c>
      <c r="H100">
        <v>16</v>
      </c>
      <c r="I100" s="2">
        <v>5224</v>
      </c>
      <c r="J100" s="2">
        <v>1958</v>
      </c>
      <c r="K100" t="s">
        <v>45</v>
      </c>
      <c r="L100" s="1">
        <v>45123</v>
      </c>
      <c r="M100" t="s">
        <v>103</v>
      </c>
    </row>
    <row r="101" spans="1:13">
      <c r="A101" t="s">
        <v>179</v>
      </c>
      <c r="B101" t="s">
        <v>197</v>
      </c>
      <c r="C101" t="s">
        <v>180</v>
      </c>
      <c r="D101" t="s">
        <v>69</v>
      </c>
      <c r="E101" t="s">
        <v>136</v>
      </c>
      <c r="F101" t="s">
        <v>28</v>
      </c>
      <c r="G101" t="s">
        <v>55</v>
      </c>
      <c r="H101">
        <v>11</v>
      </c>
      <c r="I101" s="2">
        <v>5002</v>
      </c>
      <c r="J101" s="2">
        <v>1801</v>
      </c>
      <c r="K101" t="s">
        <v>45</v>
      </c>
      <c r="L101" s="1">
        <v>45123</v>
      </c>
      <c r="M101" t="s">
        <v>103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zoomScale="85" zoomScaleNormal="85" workbookViewId="0">
      <selection activeCell="G13" sqref="G13"/>
    </sheetView>
  </sheetViews>
  <sheetFormatPr defaultRowHeight="14.5"/>
  <cols>
    <col min="1" max="1" width="16" bestFit="1" customWidth="1"/>
    <col min="2" max="2" width="12.7265625" customWidth="1"/>
    <col min="3" max="3" width="9.90625" customWidth="1"/>
  </cols>
  <sheetData>
    <row r="1" spans="1:3">
      <c r="A1" s="4" t="s">
        <v>204</v>
      </c>
      <c r="B1" s="4" t="s">
        <v>208</v>
      </c>
      <c r="C1" s="4" t="s">
        <v>207</v>
      </c>
    </row>
    <row r="2" spans="1:3">
      <c r="A2" t="s">
        <v>181</v>
      </c>
      <c r="B2" t="s">
        <v>17</v>
      </c>
      <c r="C2">
        <v>9800</v>
      </c>
    </row>
    <row r="3" spans="1:3">
      <c r="A3" t="s">
        <v>182</v>
      </c>
      <c r="B3" t="s">
        <v>21</v>
      </c>
      <c r="C3">
        <v>9500</v>
      </c>
    </row>
    <row r="4" spans="1:3">
      <c r="A4" t="s">
        <v>183</v>
      </c>
      <c r="B4" t="s">
        <v>25</v>
      </c>
      <c r="C4">
        <v>9200</v>
      </c>
    </row>
    <row r="5" spans="1:3">
      <c r="A5" t="s">
        <v>184</v>
      </c>
      <c r="B5" t="s">
        <v>17</v>
      </c>
      <c r="C5">
        <v>8900</v>
      </c>
    </row>
    <row r="6" spans="1:3">
      <c r="A6" t="s">
        <v>183</v>
      </c>
      <c r="B6" t="s">
        <v>21</v>
      </c>
      <c r="C6">
        <v>8600</v>
      </c>
    </row>
    <row r="7" spans="1:3">
      <c r="A7" t="s">
        <v>184</v>
      </c>
      <c r="B7" t="s">
        <v>25</v>
      </c>
      <c r="C7">
        <v>8300</v>
      </c>
    </row>
    <row r="8" spans="1:3">
      <c r="A8" t="s">
        <v>185</v>
      </c>
      <c r="B8" t="s">
        <v>33</v>
      </c>
      <c r="C8">
        <v>8000</v>
      </c>
    </row>
    <row r="9" spans="1:3">
      <c r="A9" t="s">
        <v>181</v>
      </c>
      <c r="B9" t="s">
        <v>35</v>
      </c>
      <c r="C9">
        <v>7700</v>
      </c>
    </row>
    <row r="10" spans="1:3">
      <c r="A10" t="s">
        <v>182</v>
      </c>
      <c r="B10" t="s">
        <v>42</v>
      </c>
      <c r="C10">
        <v>7400</v>
      </c>
    </row>
    <row r="11" spans="1:3">
      <c r="A11" t="s">
        <v>183</v>
      </c>
      <c r="B11" t="s">
        <v>42</v>
      </c>
      <c r="C11">
        <v>7100</v>
      </c>
    </row>
    <row r="12" spans="1:3">
      <c r="A12" t="s">
        <v>184</v>
      </c>
      <c r="B12" t="s">
        <v>50</v>
      </c>
      <c r="C12">
        <v>6800</v>
      </c>
    </row>
    <row r="13" spans="1:3">
      <c r="A13" t="s">
        <v>185</v>
      </c>
      <c r="B13" t="s">
        <v>53</v>
      </c>
      <c r="C13">
        <v>6500</v>
      </c>
    </row>
    <row r="14" spans="1:3">
      <c r="A14" t="s">
        <v>186</v>
      </c>
      <c r="B14" t="s">
        <v>57</v>
      </c>
      <c r="C14">
        <v>6200</v>
      </c>
    </row>
    <row r="15" spans="1:3">
      <c r="A15" t="s">
        <v>185</v>
      </c>
      <c r="B15" t="s">
        <v>57</v>
      </c>
      <c r="C15">
        <v>5900</v>
      </c>
    </row>
    <row r="16" spans="1:3">
      <c r="A16" t="s">
        <v>186</v>
      </c>
      <c r="B16" t="s">
        <v>57</v>
      </c>
      <c r="C16">
        <v>5600</v>
      </c>
    </row>
    <row r="17" spans="1:3">
      <c r="A17" t="s">
        <v>187</v>
      </c>
      <c r="B17" t="s">
        <v>50</v>
      </c>
      <c r="C17">
        <v>5300</v>
      </c>
    </row>
    <row r="18" spans="1:3">
      <c r="A18" t="s">
        <v>188</v>
      </c>
      <c r="B18" t="s">
        <v>50</v>
      </c>
      <c r="C18">
        <v>5000</v>
      </c>
    </row>
    <row r="19" spans="1:3">
      <c r="A19" t="s">
        <v>189</v>
      </c>
      <c r="B19" t="s">
        <v>21</v>
      </c>
      <c r="C19">
        <v>4700</v>
      </c>
    </row>
    <row r="20" spans="1:3">
      <c r="A20" t="s">
        <v>190</v>
      </c>
      <c r="B20" t="s">
        <v>21</v>
      </c>
      <c r="C20">
        <v>4400</v>
      </c>
    </row>
    <row r="21" spans="1:3">
      <c r="A21" t="s">
        <v>185</v>
      </c>
      <c r="B21" t="s">
        <v>71</v>
      </c>
      <c r="C21">
        <v>4100</v>
      </c>
    </row>
    <row r="22" spans="1:3">
      <c r="A22" t="s">
        <v>186</v>
      </c>
      <c r="B22" t="s">
        <v>74</v>
      </c>
      <c r="C22">
        <v>3800</v>
      </c>
    </row>
    <row r="23" spans="1:3">
      <c r="A23" t="s">
        <v>187</v>
      </c>
      <c r="B23" t="s">
        <v>78</v>
      </c>
      <c r="C23">
        <v>3500</v>
      </c>
    </row>
    <row r="24" spans="1:3">
      <c r="A24" t="s">
        <v>188</v>
      </c>
      <c r="B24" t="s">
        <v>78</v>
      </c>
      <c r="C24">
        <v>3200</v>
      </c>
    </row>
    <row r="25" spans="1:3">
      <c r="A25" t="s">
        <v>189</v>
      </c>
      <c r="B25" t="s">
        <v>33</v>
      </c>
      <c r="C25">
        <v>2900</v>
      </c>
    </row>
    <row r="26" spans="1:3">
      <c r="A26" t="s">
        <v>190</v>
      </c>
      <c r="B26" t="s">
        <v>33</v>
      </c>
      <c r="C26">
        <v>2600</v>
      </c>
    </row>
    <row r="27" spans="1:3">
      <c r="A27" t="s">
        <v>191</v>
      </c>
      <c r="B27" t="s">
        <v>33</v>
      </c>
      <c r="C27">
        <v>2300</v>
      </c>
    </row>
    <row r="28" spans="1:3">
      <c r="A28" t="s">
        <v>192</v>
      </c>
      <c r="B28" t="s">
        <v>85</v>
      </c>
      <c r="C28">
        <v>2000</v>
      </c>
    </row>
    <row r="29" spans="1:3">
      <c r="A29" t="s">
        <v>193</v>
      </c>
      <c r="B29" t="s">
        <v>88</v>
      </c>
      <c r="C29">
        <v>1700</v>
      </c>
    </row>
    <row r="30" spans="1:3">
      <c r="A30" t="s">
        <v>194</v>
      </c>
      <c r="B30" t="s">
        <v>91</v>
      </c>
      <c r="C30">
        <v>1400</v>
      </c>
    </row>
    <row r="31" spans="1:3">
      <c r="A31" t="s">
        <v>195</v>
      </c>
      <c r="B31" t="s">
        <v>94</v>
      </c>
      <c r="C31">
        <v>1100</v>
      </c>
    </row>
    <row r="32" spans="1:3">
      <c r="A32" t="s">
        <v>196</v>
      </c>
      <c r="B32" t="s">
        <v>85</v>
      </c>
      <c r="C32">
        <v>800</v>
      </c>
    </row>
    <row r="33" spans="1:3">
      <c r="A33" t="s">
        <v>197</v>
      </c>
      <c r="B33" t="s">
        <v>100</v>
      </c>
      <c r="C33">
        <v>500</v>
      </c>
    </row>
    <row r="34" spans="1:3">
      <c r="A34" t="s">
        <v>198</v>
      </c>
      <c r="B34" t="s">
        <v>100</v>
      </c>
      <c r="C34">
        <v>1000</v>
      </c>
    </row>
    <row r="35" spans="1:3">
      <c r="A35" t="s">
        <v>199</v>
      </c>
      <c r="B35" t="s">
        <v>103</v>
      </c>
      <c r="C35">
        <v>1100</v>
      </c>
    </row>
    <row r="36" spans="1:3">
      <c r="A36" t="s">
        <v>200</v>
      </c>
      <c r="B36" t="s">
        <v>106</v>
      </c>
      <c r="C36">
        <v>1200</v>
      </c>
    </row>
    <row r="37" spans="1:3">
      <c r="A37" t="s">
        <v>201</v>
      </c>
      <c r="B37" t="s">
        <v>103</v>
      </c>
      <c r="C37">
        <v>1300</v>
      </c>
    </row>
    <row r="38" spans="1:3">
      <c r="A38" t="s">
        <v>202</v>
      </c>
      <c r="B38" t="s">
        <v>106</v>
      </c>
      <c r="C38">
        <v>1400</v>
      </c>
    </row>
    <row r="39" spans="1:3">
      <c r="A39" t="s">
        <v>203</v>
      </c>
      <c r="B39" t="s">
        <v>94</v>
      </c>
      <c r="C39">
        <v>1500</v>
      </c>
    </row>
    <row r="40" spans="1:3">
      <c r="A40" t="s">
        <v>190</v>
      </c>
      <c r="B40" t="s">
        <v>94</v>
      </c>
      <c r="C40">
        <v>1600</v>
      </c>
    </row>
    <row r="41" spans="1:3">
      <c r="A41" t="s">
        <v>185</v>
      </c>
      <c r="B41" t="s">
        <v>112</v>
      </c>
      <c r="C41">
        <v>1700</v>
      </c>
    </row>
    <row r="42" spans="1:3">
      <c r="A42" t="s">
        <v>186</v>
      </c>
      <c r="B42" t="s">
        <v>112</v>
      </c>
      <c r="C42">
        <v>1800</v>
      </c>
    </row>
    <row r="43" spans="1:3">
      <c r="A43" t="s">
        <v>187</v>
      </c>
      <c r="B43" t="s">
        <v>112</v>
      </c>
      <c r="C43">
        <v>1900</v>
      </c>
    </row>
    <row r="44" spans="1:3">
      <c r="A44" t="s">
        <v>188</v>
      </c>
      <c r="B44" t="s">
        <v>85</v>
      </c>
      <c r="C44">
        <v>2000</v>
      </c>
    </row>
    <row r="45" spans="1:3">
      <c r="A45" t="s">
        <v>189</v>
      </c>
      <c r="B45" t="s">
        <v>117</v>
      </c>
      <c r="C45">
        <v>2100</v>
      </c>
    </row>
    <row r="46" spans="1:3">
      <c r="A46" t="s">
        <v>190</v>
      </c>
      <c r="B46" t="s">
        <v>119</v>
      </c>
      <c r="C46">
        <v>2200</v>
      </c>
    </row>
    <row r="47" spans="1:3">
      <c r="A47" t="s">
        <v>191</v>
      </c>
      <c r="B47" t="s">
        <v>85</v>
      </c>
      <c r="C47">
        <v>2300</v>
      </c>
    </row>
    <row r="48" spans="1:3">
      <c r="A48" t="s">
        <v>192</v>
      </c>
      <c r="B48" t="s">
        <v>117</v>
      </c>
      <c r="C48">
        <v>2400</v>
      </c>
    </row>
    <row r="49" spans="1:3">
      <c r="A49" t="s">
        <v>193</v>
      </c>
      <c r="B49" t="s">
        <v>119</v>
      </c>
      <c r="C49">
        <v>2500</v>
      </c>
    </row>
    <row r="50" spans="1:3">
      <c r="A50" t="s">
        <v>194</v>
      </c>
      <c r="B50" t="s">
        <v>21</v>
      </c>
      <c r="C50">
        <v>2600</v>
      </c>
    </row>
    <row r="51" spans="1:3">
      <c r="A51" t="s">
        <v>195</v>
      </c>
      <c r="B51" t="s">
        <v>123</v>
      </c>
      <c r="C51">
        <v>2700</v>
      </c>
    </row>
    <row r="52" spans="1:3">
      <c r="A52" t="s">
        <v>196</v>
      </c>
      <c r="B52" t="s">
        <v>125</v>
      </c>
      <c r="C52">
        <v>2800</v>
      </c>
    </row>
    <row r="53" spans="1:3">
      <c r="A53" t="s">
        <v>197</v>
      </c>
      <c r="B53" t="s">
        <v>35</v>
      </c>
      <c r="C53">
        <v>2900</v>
      </c>
    </row>
    <row r="54" spans="1:3">
      <c r="A54" t="s">
        <v>198</v>
      </c>
      <c r="B54" t="s">
        <v>21</v>
      </c>
      <c r="C54">
        <v>3000</v>
      </c>
    </row>
    <row r="55" spans="1:3">
      <c r="A55" t="s">
        <v>199</v>
      </c>
      <c r="B55" t="s">
        <v>123</v>
      </c>
      <c r="C55">
        <v>3100</v>
      </c>
    </row>
    <row r="56" spans="1:3">
      <c r="A56" t="s">
        <v>200</v>
      </c>
      <c r="B56" t="s">
        <v>125</v>
      </c>
      <c r="C56">
        <v>3200</v>
      </c>
    </row>
    <row r="57" spans="1:3">
      <c r="A57" t="s">
        <v>201</v>
      </c>
      <c r="B57" t="s">
        <v>35</v>
      </c>
      <c r="C57">
        <v>3300</v>
      </c>
    </row>
    <row r="58" spans="1:3">
      <c r="A58" t="s">
        <v>202</v>
      </c>
      <c r="B58" t="s">
        <v>129</v>
      </c>
      <c r="C58">
        <v>3400</v>
      </c>
    </row>
    <row r="59" spans="1:3">
      <c r="A59" t="s">
        <v>203</v>
      </c>
      <c r="B59" t="s">
        <v>132</v>
      </c>
      <c r="C59">
        <v>3500</v>
      </c>
    </row>
    <row r="60" spans="1:3">
      <c r="A60" t="s">
        <v>194</v>
      </c>
      <c r="B60" t="s">
        <v>135</v>
      </c>
      <c r="C60">
        <v>3600</v>
      </c>
    </row>
    <row r="61" spans="1:3">
      <c r="A61" t="s">
        <v>195</v>
      </c>
      <c r="B61" t="s">
        <v>137</v>
      </c>
      <c r="C61">
        <v>3700</v>
      </c>
    </row>
    <row r="62" spans="1:3">
      <c r="A62" t="s">
        <v>196</v>
      </c>
      <c r="B62" t="s">
        <v>135</v>
      </c>
      <c r="C62">
        <v>3800</v>
      </c>
    </row>
    <row r="63" spans="1:3">
      <c r="A63" t="s">
        <v>197</v>
      </c>
      <c r="B63" t="s">
        <v>137</v>
      </c>
      <c r="C63">
        <v>3900</v>
      </c>
    </row>
    <row r="64" spans="1:3">
      <c r="A64" t="s">
        <v>198</v>
      </c>
      <c r="B64" t="s">
        <v>135</v>
      </c>
      <c r="C64">
        <v>4000</v>
      </c>
    </row>
    <row r="65" spans="1:3">
      <c r="A65" t="s">
        <v>199</v>
      </c>
      <c r="B65" t="s">
        <v>137</v>
      </c>
      <c r="C65">
        <v>4100</v>
      </c>
    </row>
    <row r="66" spans="1:3">
      <c r="A66" t="s">
        <v>200</v>
      </c>
      <c r="B66" t="s">
        <v>78</v>
      </c>
      <c r="C66">
        <v>4200</v>
      </c>
    </row>
    <row r="67" spans="1:3">
      <c r="A67" t="s">
        <v>201</v>
      </c>
      <c r="B67" t="s">
        <v>78</v>
      </c>
      <c r="C67">
        <v>4300</v>
      </c>
    </row>
    <row r="68" spans="1:3">
      <c r="A68" t="s">
        <v>202</v>
      </c>
      <c r="B68" t="s">
        <v>78</v>
      </c>
      <c r="C68">
        <v>4400</v>
      </c>
    </row>
    <row r="69" spans="1:3">
      <c r="A69" t="s">
        <v>203</v>
      </c>
      <c r="B69" t="s">
        <v>21</v>
      </c>
      <c r="C69">
        <v>4500</v>
      </c>
    </row>
    <row r="70" spans="1:3">
      <c r="A70" t="s">
        <v>190</v>
      </c>
      <c r="B70" t="s">
        <v>143</v>
      </c>
      <c r="C70">
        <v>4600</v>
      </c>
    </row>
    <row r="71" spans="1:3">
      <c r="A71" t="s">
        <v>185</v>
      </c>
      <c r="B71" t="s">
        <v>21</v>
      </c>
      <c r="C71">
        <v>4700</v>
      </c>
    </row>
    <row r="72" spans="1:3">
      <c r="A72" t="s">
        <v>186</v>
      </c>
      <c r="B72" t="s">
        <v>143</v>
      </c>
      <c r="C72">
        <v>4800</v>
      </c>
    </row>
    <row r="73" spans="1:3">
      <c r="A73" t="s">
        <v>187</v>
      </c>
      <c r="B73" t="s">
        <v>21</v>
      </c>
      <c r="C73">
        <v>4900</v>
      </c>
    </row>
    <row r="74" spans="1:3">
      <c r="A74" t="s">
        <v>188</v>
      </c>
      <c r="B74" t="s">
        <v>143</v>
      </c>
      <c r="C74">
        <v>5000</v>
      </c>
    </row>
    <row r="75" spans="1:3">
      <c r="A75" t="s">
        <v>189</v>
      </c>
      <c r="B75" t="s">
        <v>21</v>
      </c>
      <c r="C75">
        <v>5100</v>
      </c>
    </row>
    <row r="76" spans="1:3">
      <c r="A76" t="s">
        <v>190</v>
      </c>
      <c r="B76" t="s">
        <v>143</v>
      </c>
      <c r="C76">
        <v>5200</v>
      </c>
    </row>
    <row r="77" spans="1:3">
      <c r="A77" t="s">
        <v>191</v>
      </c>
      <c r="B77" t="s">
        <v>74</v>
      </c>
      <c r="C77">
        <v>5300</v>
      </c>
    </row>
    <row r="78" spans="1:3">
      <c r="A78" t="s">
        <v>192</v>
      </c>
      <c r="B78" t="s">
        <v>74</v>
      </c>
      <c r="C78">
        <v>5400</v>
      </c>
    </row>
    <row r="79" spans="1:3">
      <c r="A79" t="s">
        <v>193</v>
      </c>
      <c r="B79" t="s">
        <v>85</v>
      </c>
      <c r="C79">
        <v>5500</v>
      </c>
    </row>
    <row r="80" spans="1:3">
      <c r="A80" t="s">
        <v>202</v>
      </c>
      <c r="B80" t="s">
        <v>150</v>
      </c>
      <c r="C80">
        <v>5600</v>
      </c>
    </row>
    <row r="81" spans="1:3">
      <c r="A81" t="s">
        <v>203</v>
      </c>
      <c r="B81" t="s">
        <v>103</v>
      </c>
      <c r="C81">
        <v>5700</v>
      </c>
    </row>
    <row r="82" spans="1:3">
      <c r="A82" t="s">
        <v>190</v>
      </c>
      <c r="B82" t="s">
        <v>103</v>
      </c>
      <c r="C82">
        <v>5800</v>
      </c>
    </row>
    <row r="83" spans="1:3">
      <c r="A83" t="s">
        <v>185</v>
      </c>
      <c r="B83" t="s">
        <v>103</v>
      </c>
      <c r="C83">
        <v>5900</v>
      </c>
    </row>
    <row r="84" spans="1:3">
      <c r="A84" t="s">
        <v>186</v>
      </c>
      <c r="B84" t="s">
        <v>103</v>
      </c>
      <c r="C84">
        <v>6000</v>
      </c>
    </row>
    <row r="85" spans="1:3">
      <c r="A85" t="s">
        <v>187</v>
      </c>
      <c r="B85" t="s">
        <v>155</v>
      </c>
      <c r="C85">
        <v>6100</v>
      </c>
    </row>
    <row r="86" spans="1:3">
      <c r="A86" t="s">
        <v>188</v>
      </c>
      <c r="B86" t="s">
        <v>157</v>
      </c>
      <c r="C86">
        <v>6200</v>
      </c>
    </row>
    <row r="87" spans="1:3">
      <c r="A87" t="s">
        <v>189</v>
      </c>
      <c r="B87" t="s">
        <v>155</v>
      </c>
      <c r="C87">
        <v>6300</v>
      </c>
    </row>
    <row r="88" spans="1:3">
      <c r="A88" t="s">
        <v>190</v>
      </c>
      <c r="B88" t="s">
        <v>157</v>
      </c>
      <c r="C88">
        <v>6400</v>
      </c>
    </row>
    <row r="89" spans="1:3">
      <c r="A89" t="s">
        <v>191</v>
      </c>
      <c r="B89" t="s">
        <v>160</v>
      </c>
      <c r="C89">
        <v>6500</v>
      </c>
    </row>
    <row r="90" spans="1:3">
      <c r="A90" t="s">
        <v>192</v>
      </c>
      <c r="B90" t="s">
        <v>160</v>
      </c>
      <c r="C90">
        <v>6600</v>
      </c>
    </row>
    <row r="91" spans="1:3">
      <c r="A91" t="s">
        <v>193</v>
      </c>
      <c r="B91" t="s">
        <v>163</v>
      </c>
      <c r="C91">
        <v>6700</v>
      </c>
    </row>
    <row r="92" spans="1:3">
      <c r="A92" t="s">
        <v>194</v>
      </c>
      <c r="B92" t="s">
        <v>165</v>
      </c>
      <c r="C92">
        <v>6800</v>
      </c>
    </row>
    <row r="93" spans="1:3">
      <c r="A93" t="s">
        <v>195</v>
      </c>
      <c r="B93" t="s">
        <v>135</v>
      </c>
      <c r="C93">
        <v>6900</v>
      </c>
    </row>
    <row r="94" spans="1:3">
      <c r="A94" t="s">
        <v>196</v>
      </c>
      <c r="B94" t="s">
        <v>132</v>
      </c>
      <c r="C94">
        <v>7000</v>
      </c>
    </row>
    <row r="95" spans="1:3">
      <c r="A95" t="s">
        <v>197</v>
      </c>
      <c r="B95" t="s">
        <v>42</v>
      </c>
      <c r="C95">
        <v>7100</v>
      </c>
    </row>
    <row r="96" spans="1:3">
      <c r="A96" t="s">
        <v>198</v>
      </c>
      <c r="B96" t="s">
        <v>173</v>
      </c>
      <c r="C96">
        <v>7200</v>
      </c>
    </row>
    <row r="97" spans="1:3">
      <c r="A97" t="s">
        <v>199</v>
      </c>
      <c r="B97" t="s">
        <v>173</v>
      </c>
      <c r="C97">
        <v>7300</v>
      </c>
    </row>
    <row r="98" spans="1:3">
      <c r="A98" t="s">
        <v>200</v>
      </c>
      <c r="B98" t="s">
        <v>176</v>
      </c>
      <c r="C98">
        <v>7400</v>
      </c>
    </row>
    <row r="99" spans="1:3">
      <c r="A99" t="s">
        <v>201</v>
      </c>
      <c r="B99" t="s">
        <v>178</v>
      </c>
      <c r="C99">
        <v>7500</v>
      </c>
    </row>
    <row r="100" spans="1:3">
      <c r="A100" t="s">
        <v>196</v>
      </c>
      <c r="B100" t="s">
        <v>103</v>
      </c>
      <c r="C100">
        <v>7600</v>
      </c>
    </row>
    <row r="101" spans="1:3">
      <c r="A101" t="s">
        <v>197</v>
      </c>
      <c r="B101" t="s">
        <v>103</v>
      </c>
      <c r="C101">
        <v>7700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selection activeCell="F2" sqref="F2:G25"/>
    </sheetView>
  </sheetViews>
  <sheetFormatPr defaultRowHeight="14.5"/>
  <cols>
    <col min="3" max="3" width="12.36328125" customWidth="1"/>
    <col min="6" max="6" width="15.26953125" bestFit="1" customWidth="1"/>
    <col min="7" max="7" width="22.26953125" bestFit="1" customWidth="1"/>
  </cols>
  <sheetData>
    <row r="1" spans="1:7" ht="15" thickBot="1">
      <c r="A1" s="27" t="s">
        <v>209</v>
      </c>
      <c r="B1" s="27" t="s">
        <v>210</v>
      </c>
      <c r="C1" s="27" t="s">
        <v>211</v>
      </c>
    </row>
    <row r="2" spans="1:7" ht="15" thickBot="1">
      <c r="A2" s="8">
        <v>0</v>
      </c>
      <c r="B2" s="8">
        <v>0.79</v>
      </c>
      <c r="C2" s="8">
        <v>0</v>
      </c>
      <c r="F2" s="53" t="s">
        <v>225</v>
      </c>
      <c r="G2" s="37" t="s">
        <v>224</v>
      </c>
    </row>
    <row r="3" spans="1:7">
      <c r="A3" s="8">
        <v>0.8</v>
      </c>
      <c r="B3" s="8">
        <v>0.99</v>
      </c>
      <c r="C3" s="8">
        <v>0.05</v>
      </c>
      <c r="F3" s="38" t="s">
        <v>181</v>
      </c>
      <c r="G3" s="39">
        <v>486.3</v>
      </c>
    </row>
    <row r="4" spans="1:7">
      <c r="A4" s="8">
        <v>1</v>
      </c>
      <c r="B4" s="8">
        <v>1.19</v>
      </c>
      <c r="C4" s="8">
        <v>0.1</v>
      </c>
      <c r="F4" s="40" t="s">
        <v>182</v>
      </c>
      <c r="G4" s="41">
        <v>972.6</v>
      </c>
    </row>
    <row r="5" spans="1:7">
      <c r="A5" s="8">
        <v>1.2</v>
      </c>
      <c r="B5" s="8">
        <v>9.99</v>
      </c>
      <c r="C5" s="8">
        <v>0.15</v>
      </c>
      <c r="F5" s="40" t="s">
        <v>190</v>
      </c>
      <c r="G5" s="41">
        <v>5610.15</v>
      </c>
    </row>
    <row r="6" spans="1:7">
      <c r="F6" s="40" t="s">
        <v>199</v>
      </c>
      <c r="G6" s="41">
        <v>2504</v>
      </c>
    </row>
    <row r="7" spans="1:7">
      <c r="F7" s="40" t="s">
        <v>186</v>
      </c>
      <c r="G7" s="41">
        <v>3910.4</v>
      </c>
    </row>
    <row r="8" spans="1:7">
      <c r="F8" s="40" t="s">
        <v>196</v>
      </c>
      <c r="G8" s="41">
        <v>2157.2999999999997</v>
      </c>
    </row>
    <row r="9" spans="1:7">
      <c r="F9" s="40" t="s">
        <v>194</v>
      </c>
      <c r="G9" s="41">
        <v>2012.6999999999998</v>
      </c>
    </row>
    <row r="10" spans="1:7">
      <c r="F10" s="40" t="s">
        <v>202</v>
      </c>
      <c r="G10" s="41">
        <v>751.65</v>
      </c>
    </row>
    <row r="11" spans="1:7">
      <c r="F11" s="40" t="s">
        <v>200</v>
      </c>
      <c r="G11" s="41">
        <v>2060.1</v>
      </c>
    </row>
    <row r="12" spans="1:7">
      <c r="F12" s="40" t="s">
        <v>187</v>
      </c>
      <c r="G12" s="41">
        <v>3253.95</v>
      </c>
    </row>
    <row r="13" spans="1:7">
      <c r="F13" s="40" t="s">
        <v>193</v>
      </c>
      <c r="G13" s="41">
        <v>1069.1500000000001</v>
      </c>
    </row>
    <row r="14" spans="1:7">
      <c r="F14" s="40" t="s">
        <v>188</v>
      </c>
      <c r="G14" s="41">
        <v>2516.0500000000002</v>
      </c>
    </row>
    <row r="15" spans="1:7">
      <c r="F15" s="40" t="s">
        <v>185</v>
      </c>
      <c r="G15" s="41">
        <v>3414.75</v>
      </c>
    </row>
    <row r="16" spans="1:7">
      <c r="F16" s="40" t="s">
        <v>191</v>
      </c>
      <c r="G16" s="41">
        <v>1041.45</v>
      </c>
    </row>
    <row r="17" spans="6:7">
      <c r="F17" s="40" t="s">
        <v>201</v>
      </c>
      <c r="G17" s="41">
        <v>3069.2999999999997</v>
      </c>
    </row>
    <row r="18" spans="6:7">
      <c r="F18" s="40" t="s">
        <v>189</v>
      </c>
      <c r="G18" s="41">
        <v>3946.7999999999997</v>
      </c>
    </row>
    <row r="19" spans="6:7">
      <c r="F19" s="40" t="s">
        <v>197</v>
      </c>
      <c r="G19" s="41">
        <v>2511.1499999999996</v>
      </c>
    </row>
    <row r="20" spans="6:7">
      <c r="F20" s="40" t="s">
        <v>183</v>
      </c>
      <c r="G20" s="41">
        <v>1785.3000000000002</v>
      </c>
    </row>
    <row r="21" spans="6:7">
      <c r="F21" s="40" t="s">
        <v>192</v>
      </c>
      <c r="G21" s="41">
        <v>1937.2</v>
      </c>
    </row>
    <row r="22" spans="6:7">
      <c r="F22" s="40" t="s">
        <v>184</v>
      </c>
      <c r="G22" s="41">
        <v>0</v>
      </c>
    </row>
    <row r="23" spans="6:7">
      <c r="F23" s="40" t="s">
        <v>198</v>
      </c>
      <c r="G23" s="41">
        <v>3643.9</v>
      </c>
    </row>
    <row r="24" spans="6:7">
      <c r="F24" s="40" t="s">
        <v>203</v>
      </c>
      <c r="G24" s="41">
        <v>2895.3</v>
      </c>
    </row>
    <row r="25" spans="6:7" ht="15" thickBot="1">
      <c r="F25" s="42" t="s">
        <v>195</v>
      </c>
      <c r="G25" s="43">
        <v>1782.75</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selection activeCell="L7" sqref="L7"/>
    </sheetView>
  </sheetViews>
  <sheetFormatPr defaultRowHeight="14.5"/>
  <cols>
    <col min="1" max="1" width="15.26953125" bestFit="1" customWidth="1"/>
    <col min="2" max="2" width="12.90625" customWidth="1"/>
    <col min="3" max="3" width="11.7265625" customWidth="1"/>
    <col min="4" max="4" width="8.1796875" customWidth="1"/>
    <col min="5" max="5" width="15.6328125" style="6" customWidth="1"/>
    <col min="6" max="6" width="12.6328125" style="6" customWidth="1"/>
    <col min="7" max="7" width="17.7265625" customWidth="1"/>
    <col min="8" max="8" width="18.26953125" customWidth="1"/>
    <col min="9" max="9" width="18.36328125" customWidth="1"/>
    <col min="10" max="10" width="12.08984375" bestFit="1" customWidth="1"/>
  </cols>
  <sheetData>
    <row r="1" spans="1:10">
      <c r="A1" s="3" t="s">
        <v>212</v>
      </c>
      <c r="B1" s="3" t="s">
        <v>9</v>
      </c>
      <c r="C1" s="3" t="s">
        <v>213</v>
      </c>
      <c r="D1" s="3" t="s">
        <v>214</v>
      </c>
      <c r="E1" s="5" t="s">
        <v>215</v>
      </c>
      <c r="F1" s="5" t="s">
        <v>211</v>
      </c>
      <c r="G1" s="3" t="s">
        <v>216</v>
      </c>
      <c r="H1" s="3" t="s">
        <v>218</v>
      </c>
      <c r="I1" s="3" t="s">
        <v>219</v>
      </c>
      <c r="J1" s="3" t="s">
        <v>220</v>
      </c>
    </row>
    <row r="2" spans="1:10">
      <c r="A2" t="s">
        <v>181</v>
      </c>
      <c r="B2" t="s">
        <v>17</v>
      </c>
      <c r="C2">
        <f>SUMIFS(Sales_Data!I:I,Sales_Data!B:B,'Incentive summary'!A2,Sales_Data!M:M,'Incentive summary'!B2)</f>
        <v>9726</v>
      </c>
      <c r="D2">
        <f>SUMIFS(Targets!C:C, Targets!A:A, A2, Targets!B:B, B2)</f>
        <v>9800</v>
      </c>
      <c r="E2" s="49">
        <f>IFERROR(C2/D2,0)</f>
        <v>0.99244897959183676</v>
      </c>
      <c r="F2" s="6">
        <f>VLOOKUP(E2, Incentive!$A$1:$C$5, 3, TRUE)</f>
        <v>0.05</v>
      </c>
      <c r="G2">
        <f>C2*F2</f>
        <v>486.3</v>
      </c>
      <c r="H2" t="str">
        <f>IF(E2&gt;0.8,"Eligible","Not Eligible")</f>
        <v>Eligible</v>
      </c>
      <c r="I2" t="str">
        <f>IF(E2&lt;0.8,"Poor",
IF(E2&lt;1,"Average",
IF(E2&lt;1.2,"Good","Excellent")))</f>
        <v>Average</v>
      </c>
      <c r="J2" t="str">
        <f>IF(F2=0,"No incentive",IF(F2=0.05,"Low incentive",IF(F2&gt;0.05,"High incentive")))</f>
        <v>Low incentive</v>
      </c>
    </row>
    <row r="3" spans="1:10">
      <c r="A3" t="s">
        <v>182</v>
      </c>
      <c r="B3" t="s">
        <v>21</v>
      </c>
      <c r="C3">
        <f>SUMIFS(Sales_Data!I:I,Sales_Data!B:B,'Incentive summary'!A3,Sales_Data!M:M,'Incentive summary'!B3)</f>
        <v>9726</v>
      </c>
      <c r="D3">
        <f>SUMIFS(Targets!C:C, Targets!A:A, A3, Targets!B:B, B3)</f>
        <v>9500</v>
      </c>
      <c r="E3" s="6">
        <f t="shared" ref="E3:E66" si="0">IFERROR(C3/D3,0)</f>
        <v>1.0237894736842106</v>
      </c>
      <c r="F3" s="6">
        <f>VLOOKUP(E3, Incentive!$A$1:$C$5, 3, TRUE)</f>
        <v>0.1</v>
      </c>
      <c r="G3">
        <f t="shared" ref="G3:G66" si="1">C3*F3</f>
        <v>972.6</v>
      </c>
      <c r="H3" t="str">
        <f t="shared" ref="H3:H66" si="2">IF(E3&gt;0.8,"Eligible","Not Eligible")</f>
        <v>Eligible</v>
      </c>
      <c r="I3" t="str">
        <f t="shared" ref="I3:I66" si="3">IF(E3&lt;0.8,"Poor",
IF(E3&lt;1,"Average",
IF(E3&lt;1.2,"Good","Excellent")))</f>
        <v>Good</v>
      </c>
      <c r="J3" t="str">
        <f t="shared" ref="J3:J66" si="4">IF(F3=0,"No incentive",IF(F3=0.05,"Low incentive",IF(F3&gt;0.05,"High incentive")))</f>
        <v>High incentive</v>
      </c>
    </row>
    <row r="4" spans="1:10">
      <c r="A4" t="s">
        <v>183</v>
      </c>
      <c r="B4" t="s">
        <v>25</v>
      </c>
      <c r="C4">
        <f>SUMIFS(Sales_Data!I:I,Sales_Data!B:B,'Incentive summary'!A4,Sales_Data!M:M,'Incentive summary'!B4)</f>
        <v>9726</v>
      </c>
      <c r="D4">
        <f>SUMIFS(Targets!C:C, Targets!A:A, A4, Targets!B:B, B4)</f>
        <v>9200</v>
      </c>
      <c r="E4" s="6">
        <f t="shared" si="0"/>
        <v>1.0571739130434783</v>
      </c>
      <c r="F4" s="6">
        <f>VLOOKUP(E4, Incentive!$A$1:$C$5, 3, TRUE)</f>
        <v>0.1</v>
      </c>
      <c r="G4">
        <f t="shared" si="1"/>
        <v>972.6</v>
      </c>
      <c r="H4" t="str">
        <f t="shared" si="2"/>
        <v>Eligible</v>
      </c>
      <c r="I4" t="str">
        <f t="shared" si="3"/>
        <v>Good</v>
      </c>
      <c r="J4" t="str">
        <f t="shared" si="4"/>
        <v>High incentive</v>
      </c>
    </row>
    <row r="5" spans="1:10">
      <c r="A5" t="s">
        <v>184</v>
      </c>
      <c r="B5" t="s">
        <v>17</v>
      </c>
      <c r="C5">
        <f>SUMIFS(Sales_Data!I:I,Sales_Data!B:B,'Incentive summary'!A5,Sales_Data!M:M,'Incentive summary'!B5)</f>
        <v>4975</v>
      </c>
      <c r="D5">
        <f>SUMIFS(Targets!C:C, Targets!A:A, A5, Targets!B:B, B5)</f>
        <v>8900</v>
      </c>
      <c r="E5" s="6">
        <f t="shared" si="0"/>
        <v>0.5589887640449438</v>
      </c>
      <c r="F5" s="6">
        <f>VLOOKUP(E5, Incentive!$A$1:$C$5, 3, TRUE)</f>
        <v>0</v>
      </c>
      <c r="G5">
        <f t="shared" si="1"/>
        <v>0</v>
      </c>
      <c r="H5" t="str">
        <f t="shared" si="2"/>
        <v>Not Eligible</v>
      </c>
      <c r="I5" t="str">
        <f t="shared" si="3"/>
        <v>Poor</v>
      </c>
      <c r="J5" t="str">
        <f t="shared" si="4"/>
        <v>No incentive</v>
      </c>
    </row>
    <row r="6" spans="1:10">
      <c r="A6" t="s">
        <v>183</v>
      </c>
      <c r="B6" t="s">
        <v>21</v>
      </c>
      <c r="C6">
        <f>SUMIFS(Sales_Data!I:I,Sales_Data!B:B,'Incentive summary'!A6,Sales_Data!M:M,'Incentive summary'!B6)</f>
        <v>4975</v>
      </c>
      <c r="D6">
        <f>SUMIFS(Targets!C:C, Targets!A:A, A6, Targets!B:B, B6)</f>
        <v>8600</v>
      </c>
      <c r="E6" s="6">
        <f t="shared" si="0"/>
        <v>0.57848837209302328</v>
      </c>
      <c r="F6" s="6">
        <f>VLOOKUP(E6, Incentive!$A$1:$C$5, 3, TRUE)</f>
        <v>0</v>
      </c>
      <c r="G6">
        <f t="shared" si="1"/>
        <v>0</v>
      </c>
      <c r="H6" t="str">
        <f t="shared" si="2"/>
        <v>Not Eligible</v>
      </c>
      <c r="I6" t="str">
        <f t="shared" si="3"/>
        <v>Poor</v>
      </c>
      <c r="J6" t="str">
        <f t="shared" si="4"/>
        <v>No incentive</v>
      </c>
    </row>
    <row r="7" spans="1:10">
      <c r="A7" t="s">
        <v>184</v>
      </c>
      <c r="B7" t="s">
        <v>25</v>
      </c>
      <c r="C7">
        <f>SUMIFS(Sales_Data!I:I,Sales_Data!B:B,'Incentive summary'!A7,Sales_Data!M:M,'Incentive summary'!B7)</f>
        <v>4975</v>
      </c>
      <c r="D7">
        <f>SUMIFS(Targets!C:C, Targets!A:A, A7, Targets!B:B, B7)</f>
        <v>8300</v>
      </c>
      <c r="E7" s="6">
        <f t="shared" si="0"/>
        <v>0.5993975903614458</v>
      </c>
      <c r="F7" s="6">
        <f>VLOOKUP(E7, Incentive!$A$1:$C$5, 3, TRUE)</f>
        <v>0</v>
      </c>
      <c r="G7">
        <f t="shared" si="1"/>
        <v>0</v>
      </c>
      <c r="H7" t="str">
        <f t="shared" si="2"/>
        <v>Not Eligible</v>
      </c>
      <c r="I7" t="str">
        <f t="shared" si="3"/>
        <v>Poor</v>
      </c>
      <c r="J7" t="str">
        <f t="shared" si="4"/>
        <v>No incentive</v>
      </c>
    </row>
    <row r="8" spans="1:10">
      <c r="A8" t="s">
        <v>185</v>
      </c>
      <c r="B8" t="s">
        <v>33</v>
      </c>
      <c r="C8">
        <f>SUMIFS(Sales_Data!I:I,Sales_Data!B:B,'Incentive summary'!A8,Sales_Data!M:M,'Incentive summary'!B8)</f>
        <v>1525</v>
      </c>
      <c r="D8">
        <f>SUMIFS(Targets!C:C, Targets!A:A, A8, Targets!B:B, B8)</f>
        <v>8000</v>
      </c>
      <c r="E8" s="6">
        <f t="shared" si="0"/>
        <v>0.19062499999999999</v>
      </c>
      <c r="F8" s="6">
        <f>VLOOKUP(E8, Incentive!$A$1:$C$5, 3, TRUE)</f>
        <v>0</v>
      </c>
      <c r="G8">
        <f t="shared" si="1"/>
        <v>0</v>
      </c>
      <c r="H8" t="str">
        <f t="shared" si="2"/>
        <v>Not Eligible</v>
      </c>
      <c r="I8" t="str">
        <f t="shared" si="3"/>
        <v>Poor</v>
      </c>
      <c r="J8" t="str">
        <f t="shared" si="4"/>
        <v>No incentive</v>
      </c>
    </row>
    <row r="9" spans="1:10">
      <c r="A9" t="s">
        <v>181</v>
      </c>
      <c r="B9" t="s">
        <v>35</v>
      </c>
      <c r="C9">
        <f>SUMIFS(Sales_Data!I:I,Sales_Data!B:B,'Incentive summary'!A9,Sales_Data!M:M,'Incentive summary'!B9)</f>
        <v>1525</v>
      </c>
      <c r="D9">
        <f>SUMIFS(Targets!C:C, Targets!A:A, A9, Targets!B:B, B9)</f>
        <v>7700</v>
      </c>
      <c r="E9" s="6">
        <f t="shared" si="0"/>
        <v>0.19805194805194806</v>
      </c>
      <c r="F9" s="6">
        <f>VLOOKUP(E9, Incentive!$A$1:$C$5, 3, TRUE)</f>
        <v>0</v>
      </c>
      <c r="G9">
        <f t="shared" si="1"/>
        <v>0</v>
      </c>
      <c r="H9" t="str">
        <f t="shared" si="2"/>
        <v>Not Eligible</v>
      </c>
      <c r="I9" t="str">
        <f t="shared" si="3"/>
        <v>Poor</v>
      </c>
      <c r="J9" t="str">
        <f t="shared" si="4"/>
        <v>No incentive</v>
      </c>
    </row>
    <row r="10" spans="1:10">
      <c r="A10" t="s">
        <v>182</v>
      </c>
      <c r="B10" t="s">
        <v>42</v>
      </c>
      <c r="C10">
        <f>SUMIFS(Sales_Data!I:I,Sales_Data!B:B,'Incentive summary'!A10,Sales_Data!M:M,'Incentive summary'!B10)</f>
        <v>883</v>
      </c>
      <c r="D10">
        <f>SUMIFS(Targets!C:C, Targets!A:A, A10, Targets!B:B, B10)</f>
        <v>7400</v>
      </c>
      <c r="E10" s="6">
        <f t="shared" si="0"/>
        <v>0.11932432432432433</v>
      </c>
      <c r="F10" s="6">
        <f>VLOOKUP(E10, Incentive!$A$1:$C$5, 3, TRUE)</f>
        <v>0</v>
      </c>
      <c r="G10">
        <f t="shared" si="1"/>
        <v>0</v>
      </c>
      <c r="H10" t="str">
        <f t="shared" si="2"/>
        <v>Not Eligible</v>
      </c>
      <c r="I10" t="str">
        <f t="shared" si="3"/>
        <v>Poor</v>
      </c>
      <c r="J10" t="str">
        <f t="shared" si="4"/>
        <v>No incentive</v>
      </c>
    </row>
    <row r="11" spans="1:10">
      <c r="A11" t="s">
        <v>183</v>
      </c>
      <c r="B11" t="s">
        <v>42</v>
      </c>
      <c r="C11">
        <f>SUMIFS(Sales_Data!I:I,Sales_Data!B:B,'Incentive summary'!A11,Sales_Data!M:M,'Incentive summary'!B11)</f>
        <v>8127</v>
      </c>
      <c r="D11">
        <f>SUMIFS(Targets!C:C, Targets!A:A, A11, Targets!B:B, B11)</f>
        <v>7100</v>
      </c>
      <c r="E11" s="6">
        <f t="shared" si="0"/>
        <v>1.1446478873239436</v>
      </c>
      <c r="F11" s="6">
        <f>VLOOKUP(E11, Incentive!$A$1:$C$5, 3, TRUE)</f>
        <v>0.1</v>
      </c>
      <c r="G11">
        <f t="shared" si="1"/>
        <v>812.7</v>
      </c>
      <c r="H11" t="str">
        <f t="shared" si="2"/>
        <v>Eligible</v>
      </c>
      <c r="I11" t="str">
        <f t="shared" si="3"/>
        <v>Good</v>
      </c>
      <c r="J11" t="str">
        <f t="shared" si="4"/>
        <v>High incentive</v>
      </c>
    </row>
    <row r="12" spans="1:10">
      <c r="A12" t="s">
        <v>184</v>
      </c>
      <c r="B12" t="s">
        <v>50</v>
      </c>
      <c r="C12">
        <f>SUMIFS(Sales_Data!I:I,Sales_Data!B:B,'Incentive summary'!A12,Sales_Data!M:M,'Incentive summary'!B12)</f>
        <v>2516</v>
      </c>
      <c r="D12">
        <f>SUMIFS(Targets!C:C, Targets!A:A, A12, Targets!B:B, B12)</f>
        <v>6800</v>
      </c>
      <c r="E12" s="6">
        <f t="shared" si="0"/>
        <v>0.37</v>
      </c>
      <c r="F12" s="6">
        <f>VLOOKUP(E12, Incentive!$A$1:$C$5, 3, TRUE)</f>
        <v>0</v>
      </c>
      <c r="G12">
        <f t="shared" si="1"/>
        <v>0</v>
      </c>
      <c r="H12" t="str">
        <f t="shared" si="2"/>
        <v>Not Eligible</v>
      </c>
      <c r="I12" t="str">
        <f t="shared" si="3"/>
        <v>Poor</v>
      </c>
      <c r="J12" t="str">
        <f t="shared" si="4"/>
        <v>No incentive</v>
      </c>
    </row>
    <row r="13" spans="1:10">
      <c r="A13" t="s">
        <v>185</v>
      </c>
      <c r="B13" t="s">
        <v>53</v>
      </c>
      <c r="C13">
        <f>SUMIFS(Sales_Data!I:I,Sales_Data!B:B,'Incentive summary'!A13,Sales_Data!M:M,'Incentive summary'!B13)</f>
        <v>2975</v>
      </c>
      <c r="D13">
        <f>SUMIFS(Targets!C:C, Targets!A:A, A13, Targets!B:B, B13)</f>
        <v>6500</v>
      </c>
      <c r="E13" s="6">
        <f t="shared" si="0"/>
        <v>0.45769230769230768</v>
      </c>
      <c r="F13" s="6">
        <f>VLOOKUP(E13, Incentive!$A$1:$C$5, 3, TRUE)</f>
        <v>0</v>
      </c>
      <c r="G13">
        <f t="shared" si="1"/>
        <v>0</v>
      </c>
      <c r="H13" t="str">
        <f t="shared" si="2"/>
        <v>Not Eligible</v>
      </c>
      <c r="I13" t="str">
        <f t="shared" si="3"/>
        <v>Poor</v>
      </c>
      <c r="J13" t="str">
        <f t="shared" si="4"/>
        <v>No incentive</v>
      </c>
    </row>
    <row r="14" spans="1:10">
      <c r="A14" t="s">
        <v>186</v>
      </c>
      <c r="B14" t="s">
        <v>57</v>
      </c>
      <c r="C14">
        <f>SUMIFS(Sales_Data!I:I,Sales_Data!B:B,'Incentive summary'!A14,Sales_Data!M:M,'Incentive summary'!B14)</f>
        <v>7874</v>
      </c>
      <c r="D14">
        <v>6800</v>
      </c>
      <c r="E14" s="6">
        <f t="shared" si="0"/>
        <v>1.1579411764705883</v>
      </c>
      <c r="F14" s="6">
        <f>VLOOKUP(E14, Incentive!$A$1:$C$5, 3, TRUE)</f>
        <v>0.1</v>
      </c>
      <c r="G14">
        <f t="shared" si="1"/>
        <v>787.40000000000009</v>
      </c>
      <c r="H14" t="str">
        <f t="shared" si="2"/>
        <v>Eligible</v>
      </c>
      <c r="I14" t="str">
        <f t="shared" si="3"/>
        <v>Good</v>
      </c>
      <c r="J14" t="str">
        <f t="shared" si="4"/>
        <v>High incentive</v>
      </c>
    </row>
    <row r="15" spans="1:10">
      <c r="A15" t="s">
        <v>185</v>
      </c>
      <c r="B15" t="s">
        <v>57</v>
      </c>
      <c r="C15">
        <f>SUMIFS(Sales_Data!I:I,Sales_Data!B:B,'Incentive summary'!A15,Sales_Data!M:M,'Incentive summary'!B15)</f>
        <v>7626</v>
      </c>
      <c r="D15">
        <f>SUMIFS(Targets!C:C, Targets!A:A, A15, Targets!B:B, B15)</f>
        <v>5900</v>
      </c>
      <c r="E15" s="6">
        <f t="shared" si="0"/>
        <v>1.2925423728813559</v>
      </c>
      <c r="F15" s="6">
        <f>VLOOKUP(E15, Incentive!$A$1:$C$5, 3, TRUE)</f>
        <v>0.15</v>
      </c>
      <c r="G15">
        <f t="shared" si="1"/>
        <v>1143.8999999999999</v>
      </c>
      <c r="H15" t="str">
        <f t="shared" si="2"/>
        <v>Eligible</v>
      </c>
      <c r="I15" t="str">
        <f t="shared" si="3"/>
        <v>Excellent</v>
      </c>
      <c r="J15" t="str">
        <f t="shared" si="4"/>
        <v>High incentive</v>
      </c>
    </row>
    <row r="16" spans="1:10">
      <c r="A16" t="s">
        <v>186</v>
      </c>
      <c r="B16" t="s">
        <v>57</v>
      </c>
      <c r="C16">
        <f>SUMIFS(Sales_Data!I:I,Sales_Data!B:B,'Incentive summary'!A16,Sales_Data!M:M,'Incentive summary'!B16)</f>
        <v>7874</v>
      </c>
      <c r="D16">
        <v>5600</v>
      </c>
      <c r="E16" s="6">
        <f t="shared" si="0"/>
        <v>1.4060714285714286</v>
      </c>
      <c r="F16" s="6">
        <f>VLOOKUP(E16, Incentive!$A$1:$C$5, 3, TRUE)</f>
        <v>0.15</v>
      </c>
      <c r="G16">
        <f t="shared" si="1"/>
        <v>1181.0999999999999</v>
      </c>
      <c r="H16" t="str">
        <f t="shared" si="2"/>
        <v>Eligible</v>
      </c>
      <c r="I16" t="str">
        <f t="shared" si="3"/>
        <v>Excellent</v>
      </c>
      <c r="J16" t="str">
        <f t="shared" si="4"/>
        <v>High incentive</v>
      </c>
    </row>
    <row r="17" spans="1:10">
      <c r="A17" t="s">
        <v>187</v>
      </c>
      <c r="B17" t="s">
        <v>50</v>
      </c>
      <c r="C17">
        <f>SUMIFS(Sales_Data!I:I,Sales_Data!B:B,'Incentive summary'!A17,Sales_Data!M:M,'Incentive summary'!B17)</f>
        <v>7600</v>
      </c>
      <c r="D17">
        <f>SUMIFS(Targets!C:C, Targets!A:A, A17, Targets!B:B, B17)</f>
        <v>5300</v>
      </c>
      <c r="E17" s="6">
        <f t="shared" si="0"/>
        <v>1.4339622641509433</v>
      </c>
      <c r="F17" s="6">
        <f>VLOOKUP(E17, Incentive!$A$1:$C$5, 3, TRUE)</f>
        <v>0.15</v>
      </c>
      <c r="G17">
        <f t="shared" si="1"/>
        <v>1140</v>
      </c>
      <c r="H17" t="str">
        <f t="shared" si="2"/>
        <v>Eligible</v>
      </c>
      <c r="I17" t="str">
        <f t="shared" si="3"/>
        <v>Excellent</v>
      </c>
      <c r="J17" t="str">
        <f t="shared" si="4"/>
        <v>High incentive</v>
      </c>
    </row>
    <row r="18" spans="1:10">
      <c r="A18" t="s">
        <v>188</v>
      </c>
      <c r="B18" t="s">
        <v>50</v>
      </c>
      <c r="C18">
        <f>SUMIFS(Sales_Data!I:I,Sales_Data!B:B,'Incentive summary'!A18,Sales_Data!M:M,'Incentive summary'!B18)</f>
        <v>7501</v>
      </c>
      <c r="D18">
        <f>SUMIFS(Targets!C:C, Targets!A:A, A18, Targets!B:B, B18)</f>
        <v>5000</v>
      </c>
      <c r="E18" s="6">
        <f t="shared" si="0"/>
        <v>1.5002</v>
      </c>
      <c r="F18" s="6">
        <f>VLOOKUP(E18, Incentive!$A$1:$C$5, 3, TRUE)</f>
        <v>0.15</v>
      </c>
      <c r="G18">
        <f t="shared" si="1"/>
        <v>1125.1499999999999</v>
      </c>
      <c r="H18" t="str">
        <f t="shared" si="2"/>
        <v>Eligible</v>
      </c>
      <c r="I18" t="str">
        <f t="shared" si="3"/>
        <v>Excellent</v>
      </c>
      <c r="J18" t="str">
        <f t="shared" si="4"/>
        <v>High incentive</v>
      </c>
    </row>
    <row r="19" spans="1:10">
      <c r="A19" t="s">
        <v>189</v>
      </c>
      <c r="B19" t="s">
        <v>21</v>
      </c>
      <c r="C19">
        <f>SUMIFS(Sales_Data!I:I,Sales_Data!B:B,'Incentive summary'!A19,Sales_Data!M:M,'Incentive summary'!B19)</f>
        <v>2328</v>
      </c>
      <c r="D19">
        <f>SUMIFS(Targets!C:C, Targets!A:A, A19, Targets!B:B, B19)</f>
        <v>9800</v>
      </c>
      <c r="E19" s="6">
        <f t="shared" si="0"/>
        <v>0.23755102040816325</v>
      </c>
      <c r="F19" s="6">
        <f>VLOOKUP(E19, Incentive!$A$1:$C$5, 3, TRUE)</f>
        <v>0</v>
      </c>
      <c r="G19">
        <f t="shared" si="1"/>
        <v>0</v>
      </c>
      <c r="H19" t="str">
        <f t="shared" si="2"/>
        <v>Not Eligible</v>
      </c>
      <c r="I19" t="str">
        <f t="shared" si="3"/>
        <v>Poor</v>
      </c>
      <c r="J19" t="str">
        <f t="shared" si="4"/>
        <v>No incentive</v>
      </c>
    </row>
    <row r="20" spans="1:10">
      <c r="A20" t="s">
        <v>190</v>
      </c>
      <c r="B20" t="s">
        <v>21</v>
      </c>
      <c r="C20">
        <f>SUMIFS(Sales_Data!I:I,Sales_Data!B:B,'Incentive summary'!A20,Sales_Data!M:M,'Incentive summary'!B20)</f>
        <v>7201</v>
      </c>
      <c r="D20">
        <f>SUMIFS(Targets!C:C, Targets!A:A, A20, Targets!B:B, B20)</f>
        <v>4400</v>
      </c>
      <c r="E20" s="6">
        <f t="shared" si="0"/>
        <v>1.636590909090909</v>
      </c>
      <c r="F20" s="6">
        <f>VLOOKUP(E20, Incentive!$A$1:$C$5, 3, TRUE)</f>
        <v>0.15</v>
      </c>
      <c r="G20">
        <f t="shared" si="1"/>
        <v>1080.1499999999999</v>
      </c>
      <c r="H20" t="str">
        <f t="shared" si="2"/>
        <v>Eligible</v>
      </c>
      <c r="I20" t="str">
        <f t="shared" si="3"/>
        <v>Excellent</v>
      </c>
      <c r="J20" t="str">
        <f t="shared" si="4"/>
        <v>High incentive</v>
      </c>
    </row>
    <row r="21" spans="1:10">
      <c r="A21" t="s">
        <v>185</v>
      </c>
      <c r="B21" t="s">
        <v>71</v>
      </c>
      <c r="C21">
        <f>SUMIFS(Sales_Data!I:I,Sales_Data!B:B,'Incentive summary'!A21,Sales_Data!M:M,'Incentive summary'!B21)</f>
        <v>1629</v>
      </c>
      <c r="D21">
        <f>SUMIFS(Targets!C:C, Targets!A:A, A21, Targets!B:B, B21)</f>
        <v>4100</v>
      </c>
      <c r="E21" s="6">
        <f t="shared" si="0"/>
        <v>0.39731707317073173</v>
      </c>
      <c r="F21" s="6">
        <f>VLOOKUP(E21, Incentive!$A$1:$C$5, 3, TRUE)</f>
        <v>0</v>
      </c>
      <c r="G21">
        <f t="shared" si="1"/>
        <v>0</v>
      </c>
      <c r="H21" t="str">
        <f t="shared" si="2"/>
        <v>Not Eligible</v>
      </c>
      <c r="I21" t="str">
        <f t="shared" si="3"/>
        <v>Poor</v>
      </c>
      <c r="J21" t="str">
        <f t="shared" si="4"/>
        <v>No incentive</v>
      </c>
    </row>
    <row r="22" spans="1:10">
      <c r="A22" t="s">
        <v>186</v>
      </c>
      <c r="B22" t="s">
        <v>74</v>
      </c>
      <c r="C22">
        <f>SUMIFS(Sales_Data!I:I,Sales_Data!B:B,'Incentive summary'!A22,Sales_Data!M:M,'Incentive summary'!B22)</f>
        <v>1629</v>
      </c>
      <c r="D22">
        <f>SUMIFS(Targets!C:C, Targets!A:A, A22, Targets!B:B, B22)</f>
        <v>3800</v>
      </c>
      <c r="E22" s="6">
        <f t="shared" si="0"/>
        <v>0.42868421052631578</v>
      </c>
      <c r="F22" s="6">
        <f>VLOOKUP(E22, Incentive!$A$1:$C$5, 3, TRUE)</f>
        <v>0</v>
      </c>
      <c r="G22">
        <f t="shared" si="1"/>
        <v>0</v>
      </c>
      <c r="H22" t="str">
        <f t="shared" si="2"/>
        <v>Not Eligible</v>
      </c>
      <c r="I22" t="str">
        <f t="shared" si="3"/>
        <v>Poor</v>
      </c>
      <c r="J22" t="str">
        <f t="shared" si="4"/>
        <v>No incentive</v>
      </c>
    </row>
    <row r="23" spans="1:10">
      <c r="A23" t="s">
        <v>187</v>
      </c>
      <c r="B23" t="s">
        <v>78</v>
      </c>
      <c r="C23">
        <f>SUMIFS(Sales_Data!I:I,Sales_Data!B:B,'Incentive summary'!A23,Sales_Data!M:M,'Incentive summary'!B23)</f>
        <v>8971</v>
      </c>
      <c r="D23">
        <f>SUMIFS(Targets!C:C, Targets!A:A, A23, Targets!B:B, B23)</f>
        <v>3500</v>
      </c>
      <c r="E23" s="6">
        <f t="shared" si="0"/>
        <v>2.5631428571428572</v>
      </c>
      <c r="F23" s="6">
        <f>VLOOKUP(E23, Incentive!$A$1:$C$5, 3, TRUE)</f>
        <v>0.15</v>
      </c>
      <c r="G23">
        <f t="shared" si="1"/>
        <v>1345.6499999999999</v>
      </c>
      <c r="H23" t="str">
        <f t="shared" si="2"/>
        <v>Eligible</v>
      </c>
      <c r="I23" t="str">
        <f t="shared" si="3"/>
        <v>Excellent</v>
      </c>
      <c r="J23" t="str">
        <f t="shared" si="4"/>
        <v>High incentive</v>
      </c>
    </row>
    <row r="24" spans="1:10">
      <c r="A24" t="s">
        <v>188</v>
      </c>
      <c r="B24" t="s">
        <v>78</v>
      </c>
      <c r="C24">
        <f>SUMIFS(Sales_Data!I:I,Sales_Data!B:B,'Incentive summary'!A24,Sales_Data!M:M,'Incentive summary'!B24)</f>
        <v>2939</v>
      </c>
      <c r="D24">
        <f>SUMIFS(Targets!C:C, Targets!A:A, A24, Targets!B:B, B24)</f>
        <v>3200</v>
      </c>
      <c r="E24" s="6">
        <f t="shared" si="0"/>
        <v>0.91843750000000002</v>
      </c>
      <c r="F24" s="6">
        <f>VLOOKUP(E24, Incentive!$A$1:$C$5, 3, TRUE)</f>
        <v>0.05</v>
      </c>
      <c r="G24">
        <f t="shared" si="1"/>
        <v>146.95000000000002</v>
      </c>
      <c r="H24" t="str">
        <f t="shared" si="2"/>
        <v>Eligible</v>
      </c>
      <c r="I24" t="str">
        <f t="shared" si="3"/>
        <v>Average</v>
      </c>
      <c r="J24" t="str">
        <f t="shared" si="4"/>
        <v>Low incentive</v>
      </c>
    </row>
    <row r="25" spans="1:10">
      <c r="A25" t="s">
        <v>189</v>
      </c>
      <c r="B25" t="s">
        <v>33</v>
      </c>
      <c r="C25">
        <f>SUMIFS(Sales_Data!I:I,Sales_Data!B:B,'Incentive summary'!A25,Sales_Data!M:M,'Incentive summary'!B25)</f>
        <v>9380</v>
      </c>
      <c r="D25">
        <f>SUMIFS(Targets!C:C, Targets!A:A, A25, Targets!B:B, B25)</f>
        <v>2900</v>
      </c>
      <c r="E25" s="6">
        <f t="shared" si="0"/>
        <v>3.2344827586206897</v>
      </c>
      <c r="F25" s="6">
        <f>VLOOKUP(E25, Incentive!$A$1:$C$5, 3, TRUE)</f>
        <v>0.15</v>
      </c>
      <c r="G25">
        <f t="shared" si="1"/>
        <v>1407</v>
      </c>
      <c r="H25" t="str">
        <f t="shared" si="2"/>
        <v>Eligible</v>
      </c>
      <c r="I25" t="str">
        <f t="shared" si="3"/>
        <v>Excellent</v>
      </c>
      <c r="J25" t="str">
        <f t="shared" si="4"/>
        <v>High incentive</v>
      </c>
    </row>
    <row r="26" spans="1:10">
      <c r="A26" t="s">
        <v>190</v>
      </c>
      <c r="B26" t="s">
        <v>33</v>
      </c>
      <c r="C26">
        <f>SUMIFS(Sales_Data!I:I,Sales_Data!B:B,'Incentive summary'!A26,Sales_Data!M:M,'Incentive summary'!B26)</f>
        <v>8558</v>
      </c>
      <c r="D26">
        <f>SUMIFS(Targets!C:C, Targets!A:A, A26, Targets!B:B, B26)</f>
        <v>2600</v>
      </c>
      <c r="E26" s="6">
        <f t="shared" si="0"/>
        <v>3.2915384615384617</v>
      </c>
      <c r="F26" s="6">
        <f>VLOOKUP(E26, Incentive!$A$1:$C$5, 3, TRUE)</f>
        <v>0.15</v>
      </c>
      <c r="G26">
        <f t="shared" si="1"/>
        <v>1283.7</v>
      </c>
      <c r="H26" t="str">
        <f t="shared" si="2"/>
        <v>Eligible</v>
      </c>
      <c r="I26" t="str">
        <f t="shared" si="3"/>
        <v>Excellent</v>
      </c>
      <c r="J26" t="str">
        <f t="shared" si="4"/>
        <v>High incentive</v>
      </c>
    </row>
    <row r="27" spans="1:10">
      <c r="A27" t="s">
        <v>191</v>
      </c>
      <c r="B27" t="s">
        <v>33</v>
      </c>
      <c r="C27">
        <f>SUMIFS(Sales_Data!I:I,Sales_Data!B:B,'Incentive summary'!A27,Sales_Data!M:M,'Incentive summary'!B27)</f>
        <v>4080</v>
      </c>
      <c r="D27">
        <f>SUMIFS(Targets!C:C, Targets!A:A, A27, Targets!B:B, B27)</f>
        <v>2300</v>
      </c>
      <c r="E27" s="6">
        <f t="shared" si="0"/>
        <v>1.7739130434782608</v>
      </c>
      <c r="F27" s="6">
        <f>VLOOKUP(E27, Incentive!$A$1:$C$5, 3, TRUE)</f>
        <v>0.15</v>
      </c>
      <c r="G27">
        <f t="shared" si="1"/>
        <v>612</v>
      </c>
      <c r="H27" t="str">
        <f t="shared" si="2"/>
        <v>Eligible</v>
      </c>
      <c r="I27" t="str">
        <f t="shared" si="3"/>
        <v>Excellent</v>
      </c>
      <c r="J27" t="str">
        <f t="shared" si="4"/>
        <v>High incentive</v>
      </c>
    </row>
    <row r="28" spans="1:10">
      <c r="A28" t="s">
        <v>192</v>
      </c>
      <c r="B28" t="s">
        <v>85</v>
      </c>
      <c r="C28">
        <f>SUMIFS(Sales_Data!I:I,Sales_Data!B:B,'Incentive summary'!A28,Sales_Data!M:M,'Incentive summary'!B28)</f>
        <v>4206</v>
      </c>
      <c r="D28">
        <f>SUMIFS(Targets!C:C, Targets!A:A, A28, Targets!B:B, B28)</f>
        <v>2000</v>
      </c>
      <c r="E28" s="6">
        <f t="shared" si="0"/>
        <v>2.1030000000000002</v>
      </c>
      <c r="F28" s="6">
        <f>VLOOKUP(E28, Incentive!$A$1:$C$5, 3, TRUE)</f>
        <v>0.15</v>
      </c>
      <c r="G28">
        <f t="shared" si="1"/>
        <v>630.9</v>
      </c>
      <c r="H28" t="str">
        <f t="shared" si="2"/>
        <v>Eligible</v>
      </c>
      <c r="I28" t="str">
        <f t="shared" si="3"/>
        <v>Excellent</v>
      </c>
      <c r="J28" t="str">
        <f t="shared" si="4"/>
        <v>High incentive</v>
      </c>
    </row>
    <row r="29" spans="1:10">
      <c r="A29" t="s">
        <v>193</v>
      </c>
      <c r="B29" t="s">
        <v>88</v>
      </c>
      <c r="C29">
        <f>SUMIFS(Sales_Data!I:I,Sales_Data!B:B,'Incentive summary'!A29,Sales_Data!M:M,'Incentive summary'!B29)</f>
        <v>5219</v>
      </c>
      <c r="D29">
        <f>SUMIFS(Targets!C:C, Targets!A:A, A29, Targets!B:B, B29)</f>
        <v>1700</v>
      </c>
      <c r="E29" s="6">
        <f t="shared" si="0"/>
        <v>3.07</v>
      </c>
      <c r="F29" s="6">
        <f>VLOOKUP(E29, Incentive!$A$1:$C$5, 3, TRUE)</f>
        <v>0.15</v>
      </c>
      <c r="G29">
        <f t="shared" si="1"/>
        <v>782.85</v>
      </c>
      <c r="H29" t="str">
        <f t="shared" si="2"/>
        <v>Eligible</v>
      </c>
      <c r="I29" t="str">
        <f t="shared" si="3"/>
        <v>Excellent</v>
      </c>
      <c r="J29" t="str">
        <f t="shared" si="4"/>
        <v>High incentive</v>
      </c>
    </row>
    <row r="30" spans="1:10">
      <c r="A30" t="s">
        <v>194</v>
      </c>
      <c r="B30" t="s">
        <v>91</v>
      </c>
      <c r="C30">
        <f>SUMIFS(Sales_Data!I:I,Sales_Data!B:B,'Incentive summary'!A30,Sales_Data!M:M,'Incentive summary'!B30)</f>
        <v>5219</v>
      </c>
      <c r="D30">
        <f>SUMIFS(Targets!C:C, Targets!A:A, A30, Targets!B:B, B30)</f>
        <v>1400</v>
      </c>
      <c r="E30" s="6">
        <f t="shared" si="0"/>
        <v>3.7278571428571428</v>
      </c>
      <c r="F30" s="6">
        <f>VLOOKUP(E30, Incentive!$A$1:$C$5, 3, TRUE)</f>
        <v>0.15</v>
      </c>
      <c r="G30">
        <f t="shared" si="1"/>
        <v>782.85</v>
      </c>
      <c r="H30" t="str">
        <f t="shared" si="2"/>
        <v>Eligible</v>
      </c>
      <c r="I30" t="str">
        <f t="shared" si="3"/>
        <v>Excellent</v>
      </c>
      <c r="J30" t="str">
        <f t="shared" si="4"/>
        <v>High incentive</v>
      </c>
    </row>
    <row r="31" spans="1:10">
      <c r="A31" t="s">
        <v>195</v>
      </c>
      <c r="B31" t="s">
        <v>94</v>
      </c>
      <c r="C31">
        <f>SUMIFS(Sales_Data!I:I,Sales_Data!B:B,'Incentive summary'!A31,Sales_Data!M:M,'Incentive summary'!B31)</f>
        <v>3686</v>
      </c>
      <c r="D31">
        <f>SUMIFS(Targets!C:C, Targets!A:A, A31, Targets!B:B, B31)</f>
        <v>1100</v>
      </c>
      <c r="E31" s="6">
        <f t="shared" si="0"/>
        <v>3.3509090909090911</v>
      </c>
      <c r="F31" s="6">
        <f>VLOOKUP(E31, Incentive!$A$1:$C$5, 3, TRUE)</f>
        <v>0.15</v>
      </c>
      <c r="G31">
        <f t="shared" si="1"/>
        <v>552.9</v>
      </c>
      <c r="H31" t="str">
        <f t="shared" si="2"/>
        <v>Eligible</v>
      </c>
      <c r="I31" t="str">
        <f t="shared" si="3"/>
        <v>Excellent</v>
      </c>
      <c r="J31" t="str">
        <f t="shared" si="4"/>
        <v>High incentive</v>
      </c>
    </row>
    <row r="32" spans="1:10">
      <c r="A32" t="s">
        <v>196</v>
      </c>
      <c r="B32" t="s">
        <v>85</v>
      </c>
      <c r="C32">
        <f>SUMIFS(Sales_Data!I:I,Sales_Data!B:B,'Incentive summary'!A32,Sales_Data!M:M,'Incentive summary'!B32)</f>
        <v>3686</v>
      </c>
      <c r="D32">
        <f>SUMIFS(Targets!C:C, Targets!A:A, A32, Targets!B:B, B32)</f>
        <v>800</v>
      </c>
      <c r="E32" s="6">
        <f t="shared" si="0"/>
        <v>4.6074999999999999</v>
      </c>
      <c r="F32" s="6">
        <f>VLOOKUP(E32, Incentive!$A$1:$C$5, 3, TRUE)</f>
        <v>0.15</v>
      </c>
      <c r="G32">
        <f t="shared" si="1"/>
        <v>552.9</v>
      </c>
      <c r="H32" t="str">
        <f t="shared" si="2"/>
        <v>Eligible</v>
      </c>
      <c r="I32" t="str">
        <f t="shared" si="3"/>
        <v>Excellent</v>
      </c>
      <c r="J32" t="str">
        <f t="shared" si="4"/>
        <v>High incentive</v>
      </c>
    </row>
    <row r="33" spans="1:10">
      <c r="A33" t="s">
        <v>197</v>
      </c>
      <c r="B33" t="s">
        <v>100</v>
      </c>
      <c r="C33">
        <f>SUMIFS(Sales_Data!I:I,Sales_Data!B:B,'Incentive summary'!A33,Sales_Data!M:M,'Incentive summary'!B33)</f>
        <v>6045</v>
      </c>
      <c r="D33">
        <f>SUMIFS(Targets!C:C, Targets!A:A, A33, Targets!B:B, B33)</f>
        <v>500</v>
      </c>
      <c r="E33" s="6">
        <f t="shared" si="0"/>
        <v>12.09</v>
      </c>
      <c r="F33" s="6">
        <f>VLOOKUP(E33, Incentive!$A$1:$C$5, 3, TRUE)</f>
        <v>0.15</v>
      </c>
      <c r="G33">
        <f t="shared" si="1"/>
        <v>906.75</v>
      </c>
      <c r="H33" t="str">
        <f t="shared" si="2"/>
        <v>Eligible</v>
      </c>
      <c r="I33" t="str">
        <f t="shared" si="3"/>
        <v>Excellent</v>
      </c>
      <c r="J33" t="str">
        <f t="shared" si="4"/>
        <v>High incentive</v>
      </c>
    </row>
    <row r="34" spans="1:10">
      <c r="A34" t="s">
        <v>198</v>
      </c>
      <c r="B34" t="s">
        <v>100</v>
      </c>
      <c r="C34">
        <f>SUMIFS(Sales_Data!I:I,Sales_Data!B:B,'Incentive summary'!A34,Sales_Data!M:M,'Incentive summary'!B34)</f>
        <v>9337</v>
      </c>
      <c r="D34">
        <f>SUMIFS(Targets!C:C, Targets!A:A, A34, Targets!B:B, B34)</f>
        <v>1000</v>
      </c>
      <c r="E34" s="6">
        <f t="shared" si="0"/>
        <v>9.3369999999999997</v>
      </c>
      <c r="F34" s="6">
        <f>VLOOKUP(E34, Incentive!$A$1:$C$5, 3, TRUE)</f>
        <v>0.15</v>
      </c>
      <c r="G34">
        <f t="shared" si="1"/>
        <v>1400.55</v>
      </c>
      <c r="H34" t="str">
        <f t="shared" si="2"/>
        <v>Eligible</v>
      </c>
      <c r="I34" t="str">
        <f t="shared" si="3"/>
        <v>Excellent</v>
      </c>
      <c r="J34" t="str">
        <f t="shared" si="4"/>
        <v>High incentive</v>
      </c>
    </row>
    <row r="35" spans="1:10">
      <c r="A35" t="s">
        <v>199</v>
      </c>
      <c r="B35" t="s">
        <v>103</v>
      </c>
      <c r="C35">
        <f>SUMIFS(Sales_Data!I:I,Sales_Data!B:B,'Incentive summary'!A35,Sales_Data!M:M,'Incentive summary'!B35)</f>
        <v>4051</v>
      </c>
      <c r="D35">
        <f>SUMIFS(Targets!C:C, Targets!A:A, A35, Targets!B:B, B35)</f>
        <v>1100</v>
      </c>
      <c r="E35" s="6">
        <f t="shared" si="0"/>
        <v>3.6827272727272726</v>
      </c>
      <c r="F35" s="6">
        <f>VLOOKUP(E35, Incentive!$A$1:$C$5, 3, TRUE)</f>
        <v>0.15</v>
      </c>
      <c r="G35">
        <f t="shared" si="1"/>
        <v>607.65</v>
      </c>
      <c r="H35" t="str">
        <f t="shared" si="2"/>
        <v>Eligible</v>
      </c>
      <c r="I35" t="str">
        <f t="shared" si="3"/>
        <v>Excellent</v>
      </c>
      <c r="J35" t="str">
        <f t="shared" si="4"/>
        <v>High incentive</v>
      </c>
    </row>
    <row r="36" spans="1:10">
      <c r="A36" t="s">
        <v>200</v>
      </c>
      <c r="B36" t="s">
        <v>106</v>
      </c>
      <c r="C36">
        <f>SUMIFS(Sales_Data!I:I,Sales_Data!B:B,'Incentive summary'!A36,Sales_Data!M:M,'Incentive summary'!B36)</f>
        <v>4051</v>
      </c>
      <c r="D36">
        <f>SUMIFS(Targets!C:C, Targets!A:A, A36, Targets!B:B, B36)</f>
        <v>1200</v>
      </c>
      <c r="E36" s="6">
        <f t="shared" si="0"/>
        <v>3.3758333333333335</v>
      </c>
      <c r="F36" s="6">
        <f>VLOOKUP(E36, Incentive!$A$1:$C$5, 3, TRUE)</f>
        <v>0.15</v>
      </c>
      <c r="G36">
        <f t="shared" si="1"/>
        <v>607.65</v>
      </c>
      <c r="H36" t="str">
        <f t="shared" si="2"/>
        <v>Eligible</v>
      </c>
      <c r="I36" t="str">
        <f t="shared" si="3"/>
        <v>Excellent</v>
      </c>
      <c r="J36" t="str">
        <f t="shared" si="4"/>
        <v>High incentive</v>
      </c>
    </row>
    <row r="37" spans="1:10">
      <c r="A37" t="s">
        <v>201</v>
      </c>
      <c r="B37" t="s">
        <v>103</v>
      </c>
      <c r="C37">
        <f>SUMIFS(Sales_Data!I:I,Sales_Data!B:B,'Incentive summary'!A37,Sales_Data!M:M,'Incentive summary'!B37)</f>
        <v>5011</v>
      </c>
      <c r="D37">
        <f>SUMIFS(Targets!C:C, Targets!A:A, A37, Targets!B:B, B37)</f>
        <v>1300</v>
      </c>
      <c r="E37" s="6">
        <f t="shared" si="0"/>
        <v>3.8546153846153848</v>
      </c>
      <c r="F37" s="6">
        <f>VLOOKUP(E37, Incentive!$A$1:$C$5, 3, TRUE)</f>
        <v>0.15</v>
      </c>
      <c r="G37">
        <f t="shared" si="1"/>
        <v>751.65</v>
      </c>
      <c r="H37" t="str">
        <f t="shared" si="2"/>
        <v>Eligible</v>
      </c>
      <c r="I37" t="str">
        <f t="shared" si="3"/>
        <v>Excellent</v>
      </c>
      <c r="J37" t="str">
        <f t="shared" si="4"/>
        <v>High incentive</v>
      </c>
    </row>
    <row r="38" spans="1:10">
      <c r="A38" t="s">
        <v>202</v>
      </c>
      <c r="B38" t="s">
        <v>106</v>
      </c>
      <c r="C38">
        <f>SUMIFS(Sales_Data!I:I,Sales_Data!B:B,'Incentive summary'!A38,Sales_Data!M:M,'Incentive summary'!B38)</f>
        <v>5011</v>
      </c>
      <c r="D38">
        <f>SUMIFS(Targets!C:C, Targets!A:A, A38, Targets!B:B, B38)</f>
        <v>1400</v>
      </c>
      <c r="E38" s="6">
        <f t="shared" si="0"/>
        <v>3.5792857142857142</v>
      </c>
      <c r="F38" s="6">
        <f>VLOOKUP(E38, Incentive!$A$1:$C$5, 3, TRUE)</f>
        <v>0.15</v>
      </c>
      <c r="G38">
        <f t="shared" si="1"/>
        <v>751.65</v>
      </c>
      <c r="H38" t="str">
        <f t="shared" si="2"/>
        <v>Eligible</v>
      </c>
      <c r="I38" t="str">
        <f t="shared" si="3"/>
        <v>Excellent</v>
      </c>
      <c r="J38" t="str">
        <f t="shared" si="4"/>
        <v>High incentive</v>
      </c>
    </row>
    <row r="39" spans="1:10">
      <c r="A39" t="s">
        <v>203</v>
      </c>
      <c r="B39" t="s">
        <v>94</v>
      </c>
      <c r="C39">
        <f>SUMIFS(Sales_Data!I:I,Sales_Data!B:B,'Incentive summary'!A39,Sales_Data!M:M,'Incentive summary'!B39)</f>
        <v>3958</v>
      </c>
      <c r="D39">
        <f>SUMIFS(Targets!C:C, Targets!A:A, A39, Targets!B:B, B39)</f>
        <v>1500</v>
      </c>
      <c r="E39" s="6">
        <f t="shared" si="0"/>
        <v>2.6386666666666665</v>
      </c>
      <c r="F39" s="6">
        <f>VLOOKUP(E39, Incentive!$A$1:$C$5, 3, TRUE)</f>
        <v>0.15</v>
      </c>
      <c r="G39">
        <f t="shared" si="1"/>
        <v>593.69999999999993</v>
      </c>
      <c r="H39" t="str">
        <f t="shared" si="2"/>
        <v>Eligible</v>
      </c>
      <c r="I39" t="str">
        <f t="shared" si="3"/>
        <v>Excellent</v>
      </c>
      <c r="J39" t="str">
        <f t="shared" si="4"/>
        <v>High incentive</v>
      </c>
    </row>
    <row r="40" spans="1:10">
      <c r="A40" t="s">
        <v>190</v>
      </c>
      <c r="B40" t="s">
        <v>94</v>
      </c>
      <c r="C40">
        <f>SUMIFS(Sales_Data!I:I,Sales_Data!B:B,'Incentive summary'!A40,Sales_Data!M:M,'Incentive summary'!B40)</f>
        <v>3132</v>
      </c>
      <c r="D40">
        <f>SUMIFS(Targets!C:C, Targets!A:A, A40, Targets!B:B, B40)</f>
        <v>1600</v>
      </c>
      <c r="E40" s="6">
        <f t="shared" si="0"/>
        <v>1.9575</v>
      </c>
      <c r="F40" s="6">
        <f>VLOOKUP(E40, Incentive!$A$1:$C$5, 3, TRUE)</f>
        <v>0.15</v>
      </c>
      <c r="G40">
        <f t="shared" si="1"/>
        <v>469.79999999999995</v>
      </c>
      <c r="H40" t="str">
        <f t="shared" si="2"/>
        <v>Eligible</v>
      </c>
      <c r="I40" t="str">
        <f t="shared" si="3"/>
        <v>Excellent</v>
      </c>
      <c r="J40" t="str">
        <f t="shared" si="4"/>
        <v>High incentive</v>
      </c>
    </row>
    <row r="41" spans="1:10">
      <c r="A41" t="s">
        <v>185</v>
      </c>
      <c r="B41" t="s">
        <v>112</v>
      </c>
      <c r="C41">
        <f>SUMIFS(Sales_Data!I:I,Sales_Data!B:B,'Incentive summary'!A41,Sales_Data!M:M,'Incentive summary'!B41)</f>
        <v>7784</v>
      </c>
      <c r="D41">
        <f>SUMIFS(Targets!C:C, Targets!A:A, A41, Targets!B:B, B41)</f>
        <v>1700</v>
      </c>
      <c r="E41" s="6">
        <f t="shared" si="0"/>
        <v>4.578823529411765</v>
      </c>
      <c r="F41" s="6">
        <f>VLOOKUP(E41, Incentive!$A$1:$C$5, 3, TRUE)</f>
        <v>0.15</v>
      </c>
      <c r="G41">
        <f t="shared" si="1"/>
        <v>1167.5999999999999</v>
      </c>
      <c r="H41" t="str">
        <f t="shared" si="2"/>
        <v>Eligible</v>
      </c>
      <c r="I41" t="str">
        <f t="shared" si="3"/>
        <v>Excellent</v>
      </c>
      <c r="J41" t="str">
        <f t="shared" si="4"/>
        <v>High incentive</v>
      </c>
    </row>
    <row r="42" spans="1:10">
      <c r="A42" t="s">
        <v>186</v>
      </c>
      <c r="B42" t="s">
        <v>112</v>
      </c>
      <c r="C42">
        <f>SUMIFS(Sales_Data!I:I,Sales_Data!B:B,'Incentive summary'!A42,Sales_Data!M:M,'Incentive summary'!B42)</f>
        <v>5591</v>
      </c>
      <c r="D42">
        <f>SUMIFS(Targets!C:C, Targets!A:A, A42, Targets!B:B, B42)</f>
        <v>1800</v>
      </c>
      <c r="E42" s="6">
        <f t="shared" si="0"/>
        <v>3.1061111111111113</v>
      </c>
      <c r="F42" s="6">
        <f>VLOOKUP(E42, Incentive!$A$1:$C$5, 3, TRUE)</f>
        <v>0.15</v>
      </c>
      <c r="G42">
        <f t="shared" si="1"/>
        <v>838.65</v>
      </c>
      <c r="H42" t="str">
        <f t="shared" si="2"/>
        <v>Eligible</v>
      </c>
      <c r="I42" t="str">
        <f t="shared" si="3"/>
        <v>Excellent</v>
      </c>
      <c r="J42" t="str">
        <f t="shared" si="4"/>
        <v>High incentive</v>
      </c>
    </row>
    <row r="43" spans="1:10">
      <c r="A43" t="s">
        <v>187</v>
      </c>
      <c r="B43" t="s">
        <v>112</v>
      </c>
      <c r="C43">
        <f>SUMIFS(Sales_Data!I:I,Sales_Data!B:B,'Incentive summary'!A43,Sales_Data!M:M,'Incentive summary'!B43)</f>
        <v>5122</v>
      </c>
      <c r="D43">
        <f>SUMIFS(Targets!C:C, Targets!A:A, A43, Targets!B:B, B43)</f>
        <v>1900</v>
      </c>
      <c r="E43" s="6">
        <f t="shared" si="0"/>
        <v>2.6957894736842105</v>
      </c>
      <c r="F43" s="6">
        <f>VLOOKUP(E43, Incentive!$A$1:$C$5, 3, TRUE)</f>
        <v>0.15</v>
      </c>
      <c r="G43">
        <f t="shared" si="1"/>
        <v>768.3</v>
      </c>
      <c r="H43" t="str">
        <f t="shared" si="2"/>
        <v>Eligible</v>
      </c>
      <c r="I43" t="str">
        <f t="shared" si="3"/>
        <v>Excellent</v>
      </c>
      <c r="J43" t="str">
        <f t="shared" si="4"/>
        <v>High incentive</v>
      </c>
    </row>
    <row r="44" spans="1:10">
      <c r="A44" t="s">
        <v>188</v>
      </c>
      <c r="B44" t="s">
        <v>85</v>
      </c>
      <c r="C44">
        <f>SUMIFS(Sales_Data!I:I,Sales_Data!B:B,'Incentive summary'!A44,Sales_Data!M:M,'Incentive summary'!B44)</f>
        <v>8293</v>
      </c>
      <c r="D44">
        <f>SUMIFS(Targets!C:C, Targets!A:A, A44, Targets!B:B, B44)</f>
        <v>2000</v>
      </c>
      <c r="E44" s="6">
        <f t="shared" si="0"/>
        <v>4.1464999999999996</v>
      </c>
      <c r="F44" s="6">
        <f>VLOOKUP(E44, Incentive!$A$1:$C$5, 3, TRUE)</f>
        <v>0.15</v>
      </c>
      <c r="G44">
        <f t="shared" si="1"/>
        <v>1243.95</v>
      </c>
      <c r="H44" t="str">
        <f t="shared" si="2"/>
        <v>Eligible</v>
      </c>
      <c r="I44" t="str">
        <f t="shared" si="3"/>
        <v>Excellent</v>
      </c>
      <c r="J44" t="str">
        <f t="shared" si="4"/>
        <v>High incentive</v>
      </c>
    </row>
    <row r="45" spans="1:10">
      <c r="A45" t="s">
        <v>189</v>
      </c>
      <c r="B45" t="s">
        <v>117</v>
      </c>
      <c r="C45">
        <f>SUMIFS(Sales_Data!I:I,Sales_Data!B:B,'Incentive summary'!A45,Sales_Data!M:M,'Incentive summary'!B45)</f>
        <v>8293</v>
      </c>
      <c r="D45">
        <f>SUMIFS(Targets!C:C, Targets!A:A, A45, Targets!B:B, B45)</f>
        <v>2100</v>
      </c>
      <c r="E45" s="6">
        <f t="shared" si="0"/>
        <v>3.9490476190476191</v>
      </c>
      <c r="F45" s="6">
        <f>VLOOKUP(E45, Incentive!$A$1:$C$5, 3, TRUE)</f>
        <v>0.15</v>
      </c>
      <c r="G45">
        <f t="shared" si="1"/>
        <v>1243.95</v>
      </c>
      <c r="H45" t="str">
        <f t="shared" si="2"/>
        <v>Eligible</v>
      </c>
      <c r="I45" t="str">
        <f t="shared" si="3"/>
        <v>Excellent</v>
      </c>
      <c r="J45" t="str">
        <f t="shared" si="4"/>
        <v>High incentive</v>
      </c>
    </row>
    <row r="46" spans="1:10">
      <c r="A46" t="s">
        <v>190</v>
      </c>
      <c r="B46" t="s">
        <v>119</v>
      </c>
      <c r="C46">
        <f>SUMIFS(Sales_Data!I:I,Sales_Data!B:B,'Incentive summary'!A46,Sales_Data!M:M,'Incentive summary'!B46)</f>
        <v>8293</v>
      </c>
      <c r="D46">
        <f>SUMIFS(Targets!C:C, Targets!A:A, A46, Targets!B:B, B46)</f>
        <v>2200</v>
      </c>
      <c r="E46" s="6">
        <f t="shared" si="0"/>
        <v>3.7695454545454545</v>
      </c>
      <c r="F46" s="6">
        <f>VLOOKUP(E46, Incentive!$A$1:$C$5, 3, TRUE)</f>
        <v>0.15</v>
      </c>
      <c r="G46">
        <f t="shared" si="1"/>
        <v>1243.95</v>
      </c>
      <c r="H46" t="str">
        <f t="shared" si="2"/>
        <v>Eligible</v>
      </c>
      <c r="I46" t="str">
        <f t="shared" si="3"/>
        <v>Excellent</v>
      </c>
      <c r="J46" t="str">
        <f t="shared" si="4"/>
        <v>High incentive</v>
      </c>
    </row>
    <row r="47" spans="1:10">
      <c r="A47" t="s">
        <v>191</v>
      </c>
      <c r="B47" t="s">
        <v>85</v>
      </c>
      <c r="C47">
        <f>SUMIFS(Sales_Data!I:I,Sales_Data!B:B,'Incentive summary'!A47,Sales_Data!M:M,'Incentive summary'!B47)</f>
        <v>2863</v>
      </c>
      <c r="D47">
        <f>SUMIFS(Targets!C:C, Targets!A:A, A47, Targets!B:B, B47)</f>
        <v>2300</v>
      </c>
      <c r="E47" s="6">
        <f t="shared" si="0"/>
        <v>1.2447826086956522</v>
      </c>
      <c r="F47" s="6">
        <f>VLOOKUP(E47, Incentive!$A$1:$C$5, 3, TRUE)</f>
        <v>0.15</v>
      </c>
      <c r="G47">
        <f t="shared" si="1"/>
        <v>429.45</v>
      </c>
      <c r="H47" t="str">
        <f t="shared" si="2"/>
        <v>Eligible</v>
      </c>
      <c r="I47" t="str">
        <f t="shared" si="3"/>
        <v>Excellent</v>
      </c>
      <c r="J47" t="str">
        <f t="shared" si="4"/>
        <v>High incentive</v>
      </c>
    </row>
    <row r="48" spans="1:10">
      <c r="A48" t="s">
        <v>192</v>
      </c>
      <c r="B48" t="s">
        <v>117</v>
      </c>
      <c r="C48">
        <f>SUMIFS(Sales_Data!I:I,Sales_Data!B:B,'Incentive summary'!A48,Sales_Data!M:M,'Incentive summary'!B48)</f>
        <v>2863</v>
      </c>
      <c r="D48">
        <f>SUMIFS(Targets!C:C, Targets!A:A, A48, Targets!B:B, B48)</f>
        <v>2400</v>
      </c>
      <c r="E48" s="6">
        <f t="shared" si="0"/>
        <v>1.1929166666666666</v>
      </c>
      <c r="F48" s="6">
        <f>VLOOKUP(E48, Incentive!$A$1:$C$5, 3, TRUE)</f>
        <v>0.1</v>
      </c>
      <c r="G48">
        <f t="shared" si="1"/>
        <v>286.3</v>
      </c>
      <c r="H48" t="str">
        <f t="shared" si="2"/>
        <v>Eligible</v>
      </c>
      <c r="I48" t="str">
        <f t="shared" si="3"/>
        <v>Good</v>
      </c>
      <c r="J48" t="str">
        <f t="shared" si="4"/>
        <v>High incentive</v>
      </c>
    </row>
    <row r="49" spans="1:10">
      <c r="A49" t="s">
        <v>193</v>
      </c>
      <c r="B49" t="s">
        <v>119</v>
      </c>
      <c r="C49">
        <f>SUMIFS(Sales_Data!I:I,Sales_Data!B:B,'Incentive summary'!A49,Sales_Data!M:M,'Incentive summary'!B49)</f>
        <v>2863</v>
      </c>
      <c r="D49">
        <f>SUMIFS(Targets!C:C, Targets!A:A, A49, Targets!B:B, B49)</f>
        <v>2500</v>
      </c>
      <c r="E49" s="6">
        <f t="shared" si="0"/>
        <v>1.1452</v>
      </c>
      <c r="F49" s="6">
        <f>VLOOKUP(E49, Incentive!$A$1:$C$5, 3, TRUE)</f>
        <v>0.1</v>
      </c>
      <c r="G49">
        <f t="shared" si="1"/>
        <v>286.3</v>
      </c>
      <c r="H49" t="str">
        <f t="shared" si="2"/>
        <v>Eligible</v>
      </c>
      <c r="I49" t="str">
        <f t="shared" si="3"/>
        <v>Good</v>
      </c>
      <c r="J49" t="str">
        <f t="shared" si="4"/>
        <v>High incentive</v>
      </c>
    </row>
    <row r="50" spans="1:10">
      <c r="A50" t="s">
        <v>194</v>
      </c>
      <c r="B50" t="s">
        <v>21</v>
      </c>
      <c r="C50">
        <f>SUMIFS(Sales_Data!I:I,Sales_Data!B:B,'Incentive summary'!A50,Sales_Data!M:M,'Incentive summary'!B50)</f>
        <v>3090</v>
      </c>
      <c r="D50">
        <f>SUMIFS(Targets!C:C, Targets!A:A, A50, Targets!B:B, B50)</f>
        <v>2600</v>
      </c>
      <c r="E50" s="6">
        <f t="shared" si="0"/>
        <v>1.1884615384615385</v>
      </c>
      <c r="F50" s="6">
        <f>VLOOKUP(E50, Incentive!$A$1:$C$5, 3, TRUE)</f>
        <v>0.1</v>
      </c>
      <c r="G50">
        <f t="shared" si="1"/>
        <v>309</v>
      </c>
      <c r="H50" t="str">
        <f t="shared" si="2"/>
        <v>Eligible</v>
      </c>
      <c r="I50" t="str">
        <f t="shared" si="3"/>
        <v>Good</v>
      </c>
      <c r="J50" t="str">
        <f t="shared" si="4"/>
        <v>High incentive</v>
      </c>
    </row>
    <row r="51" spans="1:10">
      <c r="A51" t="s">
        <v>195</v>
      </c>
      <c r="B51" t="s">
        <v>123</v>
      </c>
      <c r="C51">
        <f>SUMIFS(Sales_Data!I:I,Sales_Data!B:B,'Incentive summary'!A51,Sales_Data!M:M,'Incentive summary'!B51)</f>
        <v>3090</v>
      </c>
      <c r="D51">
        <f>SUMIFS(Targets!C:C, Targets!A:A, A51, Targets!B:B, B51)</f>
        <v>2700</v>
      </c>
      <c r="E51" s="6">
        <f t="shared" si="0"/>
        <v>1.1444444444444444</v>
      </c>
      <c r="F51" s="6">
        <f>VLOOKUP(E51, Incentive!$A$1:$C$5, 3, TRUE)</f>
        <v>0.1</v>
      </c>
      <c r="G51">
        <f t="shared" si="1"/>
        <v>309</v>
      </c>
      <c r="H51" t="str">
        <f t="shared" si="2"/>
        <v>Eligible</v>
      </c>
      <c r="I51" t="str">
        <f t="shared" si="3"/>
        <v>Good</v>
      </c>
      <c r="J51" t="str">
        <f t="shared" si="4"/>
        <v>High incentive</v>
      </c>
    </row>
    <row r="52" spans="1:10">
      <c r="A52" t="s">
        <v>196</v>
      </c>
      <c r="B52" t="s">
        <v>125</v>
      </c>
      <c r="C52">
        <f>SUMIFS(Sales_Data!I:I,Sales_Data!B:B,'Incentive summary'!A52,Sales_Data!M:M,'Incentive summary'!B52)</f>
        <v>3090</v>
      </c>
      <c r="D52">
        <f>SUMIFS(Targets!C:C, Targets!A:A, A52, Targets!B:B, B52)</f>
        <v>2800</v>
      </c>
      <c r="E52" s="6">
        <f t="shared" si="0"/>
        <v>1.1035714285714286</v>
      </c>
      <c r="F52" s="6">
        <f>VLOOKUP(E52, Incentive!$A$1:$C$5, 3, TRUE)</f>
        <v>0.1</v>
      </c>
      <c r="G52">
        <f t="shared" si="1"/>
        <v>309</v>
      </c>
      <c r="H52" t="str">
        <f t="shared" si="2"/>
        <v>Eligible</v>
      </c>
      <c r="I52" t="str">
        <f t="shared" si="3"/>
        <v>Good</v>
      </c>
      <c r="J52" t="str">
        <f t="shared" si="4"/>
        <v>High incentive</v>
      </c>
    </row>
    <row r="53" spans="1:10">
      <c r="A53" t="s">
        <v>197</v>
      </c>
      <c r="B53" t="s">
        <v>35</v>
      </c>
      <c r="C53">
        <f>SUMIFS(Sales_Data!I:I,Sales_Data!B:B,'Incentive summary'!A53,Sales_Data!M:M,'Incentive summary'!B53)</f>
        <v>3090</v>
      </c>
      <c r="D53">
        <f>SUMIFS(Targets!C:C, Targets!A:A, A53, Targets!B:B, B53)</f>
        <v>2900</v>
      </c>
      <c r="E53" s="6">
        <f t="shared" si="0"/>
        <v>1.0655172413793104</v>
      </c>
      <c r="F53" s="6">
        <f>VLOOKUP(E53, Incentive!$A$1:$C$5, 3, TRUE)</f>
        <v>0.1</v>
      </c>
      <c r="G53">
        <f t="shared" si="1"/>
        <v>309</v>
      </c>
      <c r="H53" t="str">
        <f t="shared" si="2"/>
        <v>Eligible</v>
      </c>
      <c r="I53" t="str">
        <f t="shared" si="3"/>
        <v>Good</v>
      </c>
      <c r="J53" t="str">
        <f t="shared" si="4"/>
        <v>High incentive</v>
      </c>
    </row>
    <row r="54" spans="1:10">
      <c r="A54" t="s">
        <v>198</v>
      </c>
      <c r="B54" t="s">
        <v>21</v>
      </c>
      <c r="C54">
        <f>SUMIFS(Sales_Data!I:I,Sales_Data!B:B,'Incentive summary'!A54,Sales_Data!M:M,'Incentive summary'!B54)</f>
        <v>9683</v>
      </c>
      <c r="D54">
        <f>SUMIFS(Targets!C:C, Targets!A:A, A54, Targets!B:B, B54)</f>
        <v>3000</v>
      </c>
      <c r="E54" s="6">
        <f t="shared" si="0"/>
        <v>3.2276666666666665</v>
      </c>
      <c r="F54" s="6">
        <f>VLOOKUP(E54, Incentive!$A$1:$C$5, 3, TRUE)</f>
        <v>0.15</v>
      </c>
      <c r="G54">
        <f t="shared" si="1"/>
        <v>1452.45</v>
      </c>
      <c r="H54" t="str">
        <f t="shared" si="2"/>
        <v>Eligible</v>
      </c>
      <c r="I54" t="str">
        <f t="shared" si="3"/>
        <v>Excellent</v>
      </c>
      <c r="J54" t="str">
        <f t="shared" si="4"/>
        <v>High incentive</v>
      </c>
    </row>
    <row r="55" spans="1:10">
      <c r="A55" t="s">
        <v>199</v>
      </c>
      <c r="B55" t="s">
        <v>123</v>
      </c>
      <c r="C55">
        <f>SUMIFS(Sales_Data!I:I,Sales_Data!B:B,'Incentive summary'!A55,Sales_Data!M:M,'Incentive summary'!B55)</f>
        <v>9683</v>
      </c>
      <c r="D55">
        <f>SUMIFS(Targets!C:C, Targets!A:A, A55, Targets!B:B, B55)</f>
        <v>3100</v>
      </c>
      <c r="E55" s="6">
        <f t="shared" si="0"/>
        <v>3.1235483870967742</v>
      </c>
      <c r="F55" s="6">
        <f>VLOOKUP(E55, Incentive!$A$1:$C$5, 3, TRUE)</f>
        <v>0.15</v>
      </c>
      <c r="G55">
        <f t="shared" si="1"/>
        <v>1452.45</v>
      </c>
      <c r="H55" t="str">
        <f t="shared" si="2"/>
        <v>Eligible</v>
      </c>
      <c r="I55" t="str">
        <f t="shared" si="3"/>
        <v>Excellent</v>
      </c>
      <c r="J55" t="str">
        <f t="shared" si="4"/>
        <v>High incentive</v>
      </c>
    </row>
    <row r="56" spans="1:10">
      <c r="A56" t="s">
        <v>200</v>
      </c>
      <c r="B56" t="s">
        <v>125</v>
      </c>
      <c r="C56">
        <f>SUMIFS(Sales_Data!I:I,Sales_Data!B:B,'Incentive summary'!A56,Sales_Data!M:M,'Incentive summary'!B56)</f>
        <v>9683</v>
      </c>
      <c r="D56">
        <f>SUMIFS(Targets!C:C, Targets!A:A, A56, Targets!B:B, B56)</f>
        <v>3200</v>
      </c>
      <c r="E56" s="6">
        <f t="shared" si="0"/>
        <v>3.0259374999999999</v>
      </c>
      <c r="F56" s="6">
        <f>VLOOKUP(E56, Incentive!$A$1:$C$5, 3, TRUE)</f>
        <v>0.15</v>
      </c>
      <c r="G56">
        <f t="shared" si="1"/>
        <v>1452.45</v>
      </c>
      <c r="H56" t="str">
        <f t="shared" si="2"/>
        <v>Eligible</v>
      </c>
      <c r="I56" t="str">
        <f t="shared" si="3"/>
        <v>Excellent</v>
      </c>
      <c r="J56" t="str">
        <f t="shared" si="4"/>
        <v>High incentive</v>
      </c>
    </row>
    <row r="57" spans="1:10">
      <c r="A57" t="s">
        <v>201</v>
      </c>
      <c r="B57" t="s">
        <v>35</v>
      </c>
      <c r="C57">
        <f>SUMIFS(Sales_Data!I:I,Sales_Data!B:B,'Incentive summary'!A57,Sales_Data!M:M,'Incentive summary'!B57)</f>
        <v>9683</v>
      </c>
      <c r="D57">
        <f>SUMIFS(Targets!C:C, Targets!A:A, A57, Targets!B:B, B57)</f>
        <v>3300</v>
      </c>
      <c r="E57" s="6">
        <f t="shared" si="0"/>
        <v>2.9342424242424241</v>
      </c>
      <c r="F57" s="6">
        <f>VLOOKUP(E57, Incentive!$A$1:$C$5, 3, TRUE)</f>
        <v>0.15</v>
      </c>
      <c r="G57">
        <f t="shared" si="1"/>
        <v>1452.45</v>
      </c>
      <c r="H57" t="str">
        <f t="shared" si="2"/>
        <v>Eligible</v>
      </c>
      <c r="I57" t="str">
        <f t="shared" si="3"/>
        <v>Excellent</v>
      </c>
      <c r="J57" t="str">
        <f t="shared" si="4"/>
        <v>High incentive</v>
      </c>
    </row>
    <row r="58" spans="1:10">
      <c r="A58" t="s">
        <v>202</v>
      </c>
      <c r="B58" t="s">
        <v>129</v>
      </c>
      <c r="C58">
        <f>SUMIFS(Sales_Data!I:I,Sales_Data!B:B,'Incentive summary'!A58,Sales_Data!M:M,'Incentive summary'!B58)</f>
        <v>2463</v>
      </c>
      <c r="D58">
        <f>SUMIFS(Targets!C:C, Targets!A:A, A58, Targets!B:B, B58)</f>
        <v>3400</v>
      </c>
      <c r="E58" s="6">
        <f t="shared" si="0"/>
        <v>0.72441176470588231</v>
      </c>
      <c r="F58" s="6">
        <f>VLOOKUP(E58, Incentive!$A$1:$C$5, 3, TRUE)</f>
        <v>0</v>
      </c>
      <c r="G58">
        <f t="shared" si="1"/>
        <v>0</v>
      </c>
      <c r="H58" t="str">
        <f t="shared" si="2"/>
        <v>Not Eligible</v>
      </c>
      <c r="I58" t="str">
        <f t="shared" si="3"/>
        <v>Poor</v>
      </c>
      <c r="J58" t="str">
        <f t="shared" si="4"/>
        <v>No incentive</v>
      </c>
    </row>
    <row r="59" spans="1:10">
      <c r="A59" t="s">
        <v>203</v>
      </c>
      <c r="B59" t="s">
        <v>132</v>
      </c>
      <c r="C59">
        <f>SUMIFS(Sales_Data!I:I,Sales_Data!B:B,'Incentive summary'!A59,Sales_Data!M:M,'Incentive summary'!B59)</f>
        <v>7811</v>
      </c>
      <c r="D59">
        <f>SUMIFS(Targets!C:C, Targets!A:A, A59, Targets!B:B, B59)</f>
        <v>3500</v>
      </c>
      <c r="E59" s="6">
        <f t="shared" si="0"/>
        <v>2.2317142857142858</v>
      </c>
      <c r="F59" s="6">
        <f>VLOOKUP(E59, Incentive!$A$1:$C$5, 3, TRUE)</f>
        <v>0.15</v>
      </c>
      <c r="G59">
        <f t="shared" si="1"/>
        <v>1171.6499999999999</v>
      </c>
      <c r="H59" t="str">
        <f t="shared" si="2"/>
        <v>Eligible</v>
      </c>
      <c r="I59" t="str">
        <f t="shared" si="3"/>
        <v>Excellent</v>
      </c>
      <c r="J59" t="str">
        <f t="shared" si="4"/>
        <v>High incentive</v>
      </c>
    </row>
    <row r="60" spans="1:10">
      <c r="A60" t="s">
        <v>194</v>
      </c>
      <c r="B60" t="s">
        <v>135</v>
      </c>
      <c r="C60">
        <f>SUMIFS(Sales_Data!I:I,Sales_Data!B:B,'Incentive summary'!A60,Sales_Data!M:M,'Incentive summary'!B60)</f>
        <v>6139</v>
      </c>
      <c r="D60">
        <f>SUMIFS(Targets!C:C, Targets!A:A, A60, Targets!B:B, B60)</f>
        <v>3600</v>
      </c>
      <c r="E60" s="6">
        <f t="shared" si="0"/>
        <v>1.7052777777777777</v>
      </c>
      <c r="F60" s="6">
        <f>VLOOKUP(E60, Incentive!$A$1:$C$5, 3, TRUE)</f>
        <v>0.15</v>
      </c>
      <c r="G60">
        <f t="shared" si="1"/>
        <v>920.84999999999991</v>
      </c>
      <c r="H60" t="str">
        <f t="shared" si="2"/>
        <v>Eligible</v>
      </c>
      <c r="I60" t="str">
        <f t="shared" si="3"/>
        <v>Excellent</v>
      </c>
      <c r="J60" t="str">
        <f t="shared" si="4"/>
        <v>High incentive</v>
      </c>
    </row>
    <row r="61" spans="1:10">
      <c r="A61" t="s">
        <v>195</v>
      </c>
      <c r="B61" t="s">
        <v>137</v>
      </c>
      <c r="C61">
        <f>SUMIFS(Sales_Data!I:I,Sales_Data!B:B,'Incentive summary'!A61,Sales_Data!M:M,'Incentive summary'!B61)</f>
        <v>6139</v>
      </c>
      <c r="D61">
        <f>SUMIFS(Targets!C:C, Targets!A:A, A61, Targets!B:B, B61)</f>
        <v>3700</v>
      </c>
      <c r="E61" s="6">
        <f t="shared" si="0"/>
        <v>1.6591891891891892</v>
      </c>
      <c r="F61" s="6">
        <f>VLOOKUP(E61, Incentive!$A$1:$C$5, 3, TRUE)</f>
        <v>0.15</v>
      </c>
      <c r="G61">
        <f t="shared" si="1"/>
        <v>920.84999999999991</v>
      </c>
      <c r="H61" t="str">
        <f t="shared" si="2"/>
        <v>Eligible</v>
      </c>
      <c r="I61" t="str">
        <f t="shared" si="3"/>
        <v>Excellent</v>
      </c>
      <c r="J61" t="str">
        <f t="shared" si="4"/>
        <v>High incentive</v>
      </c>
    </row>
    <row r="62" spans="1:10">
      <c r="A62" t="s">
        <v>196</v>
      </c>
      <c r="B62" t="s">
        <v>135</v>
      </c>
      <c r="C62">
        <f>SUMIFS(Sales_Data!I:I,Sales_Data!B:B,'Incentive summary'!A62,Sales_Data!M:M,'Incentive summary'!B62)</f>
        <v>8636</v>
      </c>
      <c r="D62">
        <f>SUMIFS(Targets!C:C, Targets!A:A, A62, Targets!B:B, B62)</f>
        <v>3800</v>
      </c>
      <c r="E62" s="6">
        <f t="shared" si="0"/>
        <v>2.2726315789473683</v>
      </c>
      <c r="F62" s="6">
        <f>VLOOKUP(E62, Incentive!$A$1:$C$5, 3, TRUE)</f>
        <v>0.15</v>
      </c>
      <c r="G62">
        <f t="shared" si="1"/>
        <v>1295.3999999999999</v>
      </c>
      <c r="H62" t="str">
        <f t="shared" si="2"/>
        <v>Eligible</v>
      </c>
      <c r="I62" t="str">
        <f t="shared" si="3"/>
        <v>Excellent</v>
      </c>
      <c r="J62" t="str">
        <f t="shared" si="4"/>
        <v>High incentive</v>
      </c>
    </row>
    <row r="63" spans="1:10">
      <c r="A63" t="s">
        <v>197</v>
      </c>
      <c r="B63" t="s">
        <v>137</v>
      </c>
      <c r="C63">
        <f>SUMIFS(Sales_Data!I:I,Sales_Data!B:B,'Incentive summary'!A63,Sales_Data!M:M,'Incentive summary'!B63)</f>
        <v>8636</v>
      </c>
      <c r="D63">
        <f>SUMIFS(Targets!C:C, Targets!A:A, A63, Targets!B:B, B63)</f>
        <v>3900</v>
      </c>
      <c r="E63" s="6">
        <f t="shared" si="0"/>
        <v>2.2143589743589742</v>
      </c>
      <c r="F63" s="6">
        <f>VLOOKUP(E63, Incentive!$A$1:$C$5, 3, TRUE)</f>
        <v>0.15</v>
      </c>
      <c r="G63">
        <f t="shared" si="1"/>
        <v>1295.3999999999999</v>
      </c>
      <c r="H63" t="str">
        <f t="shared" si="2"/>
        <v>Eligible</v>
      </c>
      <c r="I63" t="str">
        <f t="shared" si="3"/>
        <v>Excellent</v>
      </c>
      <c r="J63" t="str">
        <f t="shared" si="4"/>
        <v>High incentive</v>
      </c>
    </row>
    <row r="64" spans="1:10">
      <c r="A64" t="s">
        <v>198</v>
      </c>
      <c r="B64" t="s">
        <v>135</v>
      </c>
      <c r="C64">
        <f>SUMIFS(Sales_Data!I:I,Sales_Data!B:B,'Incentive summary'!A64,Sales_Data!M:M,'Incentive summary'!B64)</f>
        <v>4439</v>
      </c>
      <c r="D64">
        <f>SUMIFS(Targets!C:C, Targets!A:A, A64, Targets!B:B, B64)</f>
        <v>4000</v>
      </c>
      <c r="E64" s="6">
        <f t="shared" si="0"/>
        <v>1.10975</v>
      </c>
      <c r="F64" s="6">
        <f>VLOOKUP(E64, Incentive!$A$1:$C$5, 3, TRUE)</f>
        <v>0.1</v>
      </c>
      <c r="G64">
        <f t="shared" si="1"/>
        <v>443.90000000000003</v>
      </c>
      <c r="H64" t="str">
        <f t="shared" si="2"/>
        <v>Eligible</v>
      </c>
      <c r="I64" t="str">
        <f t="shared" si="3"/>
        <v>Good</v>
      </c>
      <c r="J64" t="str">
        <f t="shared" si="4"/>
        <v>High incentive</v>
      </c>
    </row>
    <row r="65" spans="1:10">
      <c r="A65" t="s">
        <v>199</v>
      </c>
      <c r="B65" t="s">
        <v>137</v>
      </c>
      <c r="C65">
        <f>SUMIFS(Sales_Data!I:I,Sales_Data!B:B,'Incentive summary'!A65,Sales_Data!M:M,'Incentive summary'!B65)</f>
        <v>4439</v>
      </c>
      <c r="D65">
        <f>SUMIFS(Targets!C:C, Targets!A:A, A65, Targets!B:B, B65)</f>
        <v>4100</v>
      </c>
      <c r="E65" s="6">
        <f t="shared" si="0"/>
        <v>1.0826829268292684</v>
      </c>
      <c r="F65" s="6">
        <f>VLOOKUP(E65, Incentive!$A$1:$C$5, 3, TRUE)</f>
        <v>0.1</v>
      </c>
      <c r="G65">
        <f t="shared" si="1"/>
        <v>443.90000000000003</v>
      </c>
      <c r="H65" t="str">
        <f t="shared" si="2"/>
        <v>Eligible</v>
      </c>
      <c r="I65" t="str">
        <f t="shared" si="3"/>
        <v>Good</v>
      </c>
      <c r="J65" t="str">
        <f t="shared" si="4"/>
        <v>High incentive</v>
      </c>
    </row>
    <row r="66" spans="1:10">
      <c r="A66" t="s">
        <v>200</v>
      </c>
      <c r="B66" t="s">
        <v>78</v>
      </c>
      <c r="C66">
        <f>SUMIFS(Sales_Data!I:I,Sales_Data!B:B,'Incentive summary'!A66,Sales_Data!M:M,'Incentive summary'!B66)</f>
        <v>1016</v>
      </c>
      <c r="D66">
        <f>SUMIFS(Targets!C:C, Targets!A:A, A66, Targets!B:B, B66)</f>
        <v>4200</v>
      </c>
      <c r="E66" s="6">
        <f t="shared" si="0"/>
        <v>0.2419047619047619</v>
      </c>
      <c r="F66" s="6">
        <f>VLOOKUP(E66, Incentive!$A$1:$C$5, 3, TRUE)</f>
        <v>0</v>
      </c>
      <c r="G66">
        <f t="shared" si="1"/>
        <v>0</v>
      </c>
      <c r="H66" t="str">
        <f t="shared" si="2"/>
        <v>Not Eligible</v>
      </c>
      <c r="I66" t="str">
        <f t="shared" si="3"/>
        <v>Poor</v>
      </c>
      <c r="J66" t="str">
        <f t="shared" si="4"/>
        <v>No incentive</v>
      </c>
    </row>
    <row r="67" spans="1:10">
      <c r="A67" t="s">
        <v>201</v>
      </c>
      <c r="B67" t="s">
        <v>78</v>
      </c>
      <c r="C67">
        <f>SUMIFS(Sales_Data!I:I,Sales_Data!B:B,'Incentive summary'!A67,Sales_Data!M:M,'Incentive summary'!B67)</f>
        <v>5768</v>
      </c>
      <c r="D67">
        <f>SUMIFS(Targets!C:C, Targets!A:A, A67, Targets!B:B, B67)</f>
        <v>4300</v>
      </c>
      <c r="E67" s="6">
        <f t="shared" ref="E67:E101" si="5">IFERROR(C67/D67,0)</f>
        <v>1.3413953488372092</v>
      </c>
      <c r="F67" s="6">
        <f>VLOOKUP(E67, Incentive!$A$1:$C$5, 3, TRUE)</f>
        <v>0.15</v>
      </c>
      <c r="G67">
        <f t="shared" ref="G67:G101" si="6">C67*F67</f>
        <v>865.19999999999993</v>
      </c>
      <c r="H67" t="str">
        <f t="shared" ref="H67:H101" si="7">IF(E67&gt;0.8,"Eligible","Not Eligible")</f>
        <v>Eligible</v>
      </c>
      <c r="I67" t="str">
        <f t="shared" ref="I67:I101" si="8">IF(E67&lt;0.8,"Poor",
IF(E67&lt;1,"Average",
IF(E67&lt;1.2,"Good","Excellent")))</f>
        <v>Excellent</v>
      </c>
      <c r="J67" t="str">
        <f t="shared" ref="J67:J101" si="9">IF(F67=0,"No incentive",IF(F67=0.05,"Low incentive",IF(F67&gt;0.05,"High incentive")))</f>
        <v>High incentive</v>
      </c>
    </row>
    <row r="68" spans="1:10">
      <c r="A68" t="s">
        <v>202</v>
      </c>
      <c r="B68" t="s">
        <v>78</v>
      </c>
      <c r="C68">
        <f>SUMIFS(Sales_Data!I:I,Sales_Data!B:B,'Incentive summary'!A68,Sales_Data!M:M,'Incentive summary'!B68)</f>
        <v>1217</v>
      </c>
      <c r="D68">
        <f>SUMIFS(Targets!C:C, Targets!A:A, A68, Targets!B:B, B68)</f>
        <v>4400</v>
      </c>
      <c r="E68" s="6">
        <f t="shared" si="5"/>
        <v>0.27659090909090911</v>
      </c>
      <c r="F68" s="6">
        <f>VLOOKUP(E68, Incentive!$A$1:$C$5, 3, TRUE)</f>
        <v>0</v>
      </c>
      <c r="G68">
        <f t="shared" si="6"/>
        <v>0</v>
      </c>
      <c r="H68" t="str">
        <f t="shared" si="7"/>
        <v>Not Eligible</v>
      </c>
      <c r="I68" t="str">
        <f t="shared" si="8"/>
        <v>Poor</v>
      </c>
      <c r="J68" t="str">
        <f t="shared" si="9"/>
        <v>No incentive</v>
      </c>
    </row>
    <row r="69" spans="1:10">
      <c r="A69" t="s">
        <v>203</v>
      </c>
      <c r="B69" t="s">
        <v>21</v>
      </c>
      <c r="C69">
        <f>SUMIFS(Sales_Data!I:I,Sales_Data!B:B,'Incentive summary'!A69,Sales_Data!M:M,'Incentive summary'!B69)</f>
        <v>953</v>
      </c>
      <c r="D69">
        <f>SUMIFS(Targets!C:C, Targets!A:A, A69, Targets!B:B, B69)</f>
        <v>4500</v>
      </c>
      <c r="E69" s="6">
        <f t="shared" si="5"/>
        <v>0.21177777777777779</v>
      </c>
      <c r="F69" s="6">
        <f>VLOOKUP(E69, Incentive!$A$1:$C$5, 3, TRUE)</f>
        <v>0</v>
      </c>
      <c r="G69">
        <f t="shared" si="6"/>
        <v>0</v>
      </c>
      <c r="H69" t="str">
        <f t="shared" si="7"/>
        <v>Not Eligible</v>
      </c>
      <c r="I69" t="str">
        <f t="shared" si="8"/>
        <v>Poor</v>
      </c>
      <c r="J69" t="str">
        <f t="shared" si="9"/>
        <v>No incentive</v>
      </c>
    </row>
    <row r="70" spans="1:10">
      <c r="A70" t="s">
        <v>190</v>
      </c>
      <c r="B70" t="s">
        <v>143</v>
      </c>
      <c r="C70">
        <f>SUMIFS(Sales_Data!I:I,Sales_Data!B:B,'Incentive summary'!A70,Sales_Data!M:M,'Incentive summary'!B70)</f>
        <v>2556</v>
      </c>
      <c r="D70">
        <f>SUMIFS(Targets!C:C, Targets!A:A, A70, Targets!B:B, B70)</f>
        <v>9800</v>
      </c>
      <c r="E70" s="6">
        <f t="shared" si="5"/>
        <v>0.26081632653061226</v>
      </c>
      <c r="F70" s="6">
        <f>VLOOKUP(E70, Incentive!$A$1:$C$5, 3, TRUE)</f>
        <v>0</v>
      </c>
      <c r="G70">
        <f t="shared" si="6"/>
        <v>0</v>
      </c>
      <c r="H70" t="str">
        <f t="shared" si="7"/>
        <v>Not Eligible</v>
      </c>
      <c r="I70" t="str">
        <f t="shared" si="8"/>
        <v>Poor</v>
      </c>
      <c r="J70" t="str">
        <f t="shared" si="9"/>
        <v>No incentive</v>
      </c>
    </row>
    <row r="71" spans="1:10">
      <c r="A71" t="s">
        <v>185</v>
      </c>
      <c r="B71" t="s">
        <v>21</v>
      </c>
      <c r="C71">
        <f>SUMIFS(Sales_Data!I:I,Sales_Data!B:B,'Incentive summary'!A71,Sales_Data!M:M,'Incentive summary'!B71)</f>
        <v>7355</v>
      </c>
      <c r="D71">
        <f>SUMIFS(Targets!C:C, Targets!A:A, A71, Targets!B:B, B71)</f>
        <v>4700</v>
      </c>
      <c r="E71" s="6">
        <f t="shared" si="5"/>
        <v>1.5648936170212766</v>
      </c>
      <c r="F71" s="6">
        <f>VLOOKUP(E71, Incentive!$A$1:$C$5, 3, TRUE)</f>
        <v>0.15</v>
      </c>
      <c r="G71">
        <f t="shared" si="6"/>
        <v>1103.25</v>
      </c>
      <c r="H71" t="str">
        <f t="shared" si="7"/>
        <v>Eligible</v>
      </c>
      <c r="I71" t="str">
        <f t="shared" si="8"/>
        <v>Excellent</v>
      </c>
      <c r="J71" t="str">
        <f t="shared" si="9"/>
        <v>High incentive</v>
      </c>
    </row>
    <row r="72" spans="1:10">
      <c r="A72" t="s">
        <v>186</v>
      </c>
      <c r="B72" t="s">
        <v>143</v>
      </c>
      <c r="C72">
        <f>SUMIFS(Sales_Data!I:I,Sales_Data!B:B,'Incentive summary'!A72,Sales_Data!M:M,'Incentive summary'!B72)</f>
        <v>7355</v>
      </c>
      <c r="D72">
        <f>SUMIFS(Targets!C:C, Targets!A:A, A72, Targets!B:B, B72)</f>
        <v>4800</v>
      </c>
      <c r="E72" s="6">
        <f t="shared" si="5"/>
        <v>1.5322916666666666</v>
      </c>
      <c r="F72" s="6">
        <f>VLOOKUP(E72, Incentive!$A$1:$C$5, 3, TRUE)</f>
        <v>0.15</v>
      </c>
      <c r="G72">
        <f t="shared" si="6"/>
        <v>1103.25</v>
      </c>
      <c r="H72" t="str">
        <f t="shared" si="7"/>
        <v>Eligible</v>
      </c>
      <c r="I72" t="str">
        <f t="shared" si="8"/>
        <v>Excellent</v>
      </c>
      <c r="J72" t="str">
        <f t="shared" si="9"/>
        <v>High incentive</v>
      </c>
    </row>
    <row r="73" spans="1:10">
      <c r="A73" t="s">
        <v>187</v>
      </c>
      <c r="B73" t="s">
        <v>21</v>
      </c>
      <c r="C73">
        <f>SUMIFS(Sales_Data!I:I,Sales_Data!B:B,'Incentive summary'!A73,Sales_Data!M:M,'Incentive summary'!B73)</f>
        <v>1843</v>
      </c>
      <c r="D73">
        <f>SUMIFS(Targets!C:C, Targets!A:A, A73, Targets!B:B, B73)</f>
        <v>4900</v>
      </c>
      <c r="E73" s="6">
        <f t="shared" si="5"/>
        <v>0.37612244897959185</v>
      </c>
      <c r="F73" s="6">
        <f>VLOOKUP(E73, Incentive!$A$1:$C$5, 3, TRUE)</f>
        <v>0</v>
      </c>
      <c r="G73">
        <f t="shared" si="6"/>
        <v>0</v>
      </c>
      <c r="H73" t="str">
        <f t="shared" si="7"/>
        <v>Not Eligible</v>
      </c>
      <c r="I73" t="str">
        <f t="shared" si="8"/>
        <v>Poor</v>
      </c>
      <c r="J73" t="str">
        <f t="shared" si="9"/>
        <v>No incentive</v>
      </c>
    </row>
    <row r="74" spans="1:10">
      <c r="A74" t="s">
        <v>188</v>
      </c>
      <c r="B74" t="s">
        <v>143</v>
      </c>
      <c r="C74">
        <f>SUMIFS(Sales_Data!I:I,Sales_Data!B:B,'Incentive summary'!A74,Sales_Data!M:M,'Incentive summary'!B74)</f>
        <v>1843</v>
      </c>
      <c r="D74">
        <f>SUMIFS(Targets!C:C, Targets!A:A, A74, Targets!B:B, B74)</f>
        <v>5000</v>
      </c>
      <c r="E74" s="6">
        <f t="shared" si="5"/>
        <v>0.36859999999999998</v>
      </c>
      <c r="F74" s="6">
        <f>VLOOKUP(E74, Incentive!$A$1:$C$5, 3, TRUE)</f>
        <v>0</v>
      </c>
      <c r="G74">
        <f t="shared" si="6"/>
        <v>0</v>
      </c>
      <c r="H74" t="str">
        <f t="shared" si="7"/>
        <v>Not Eligible</v>
      </c>
      <c r="I74" t="str">
        <f t="shared" si="8"/>
        <v>Poor</v>
      </c>
      <c r="J74" t="str">
        <f t="shared" si="9"/>
        <v>No incentive</v>
      </c>
    </row>
    <row r="75" spans="1:10">
      <c r="A75" t="s">
        <v>189</v>
      </c>
      <c r="B75" t="s">
        <v>21</v>
      </c>
      <c r="C75">
        <f>SUMIFS(Sales_Data!I:I,Sales_Data!B:B,'Incentive summary'!A75,Sales_Data!M:M,'Incentive summary'!B75)</f>
        <v>2328</v>
      </c>
      <c r="D75">
        <f>SUMIFS(Targets!C:C, Targets!A:A, A75, Targets!B:B, B75)</f>
        <v>9800</v>
      </c>
      <c r="E75" s="6">
        <f t="shared" si="5"/>
        <v>0.23755102040816325</v>
      </c>
      <c r="F75" s="6">
        <f>VLOOKUP(E75, Incentive!$A$1:$C$5, 3, TRUE)</f>
        <v>0</v>
      </c>
      <c r="G75">
        <f t="shared" si="6"/>
        <v>0</v>
      </c>
      <c r="H75" t="str">
        <f t="shared" si="7"/>
        <v>Not Eligible</v>
      </c>
      <c r="I75" t="str">
        <f t="shared" si="8"/>
        <v>Poor</v>
      </c>
      <c r="J75" t="str">
        <f t="shared" si="9"/>
        <v>No incentive</v>
      </c>
    </row>
    <row r="76" spans="1:10">
      <c r="A76" t="s">
        <v>190</v>
      </c>
      <c r="B76" t="s">
        <v>143</v>
      </c>
      <c r="C76">
        <f>SUMIFS(Sales_Data!I:I,Sales_Data!B:B,'Incentive summary'!A76,Sales_Data!M:M,'Incentive summary'!B76)</f>
        <v>2556</v>
      </c>
      <c r="D76">
        <f>SUMIFS(Targets!C:C, Targets!A:A, A76, Targets!B:B, B76)</f>
        <v>9800</v>
      </c>
      <c r="E76" s="6">
        <f t="shared" si="5"/>
        <v>0.26081632653061226</v>
      </c>
      <c r="F76" s="6">
        <f>VLOOKUP(E76, Incentive!$A$1:$C$5, 3, TRUE)</f>
        <v>0</v>
      </c>
      <c r="G76">
        <f t="shared" si="6"/>
        <v>0</v>
      </c>
      <c r="H76" t="str">
        <f t="shared" si="7"/>
        <v>Not Eligible</v>
      </c>
      <c r="I76" t="str">
        <f t="shared" si="8"/>
        <v>Poor</v>
      </c>
      <c r="J76" t="str">
        <f t="shared" si="9"/>
        <v>No incentive</v>
      </c>
    </row>
    <row r="77" spans="1:10">
      <c r="A77" t="s">
        <v>191</v>
      </c>
      <c r="B77" t="s">
        <v>74</v>
      </c>
      <c r="C77">
        <f>SUMIFS(Sales_Data!I:I,Sales_Data!B:B,'Incentive summary'!A77,Sales_Data!M:M,'Incentive summary'!B77)</f>
        <v>2025</v>
      </c>
      <c r="D77">
        <f>SUMIFS(Targets!C:C, Targets!A:A, A77, Targets!B:B, B77)</f>
        <v>5300</v>
      </c>
      <c r="E77" s="6">
        <f t="shared" si="5"/>
        <v>0.38207547169811323</v>
      </c>
      <c r="F77" s="6">
        <f>VLOOKUP(E77, Incentive!$A$1:$C$5, 3, TRUE)</f>
        <v>0</v>
      </c>
      <c r="G77">
        <f t="shared" si="6"/>
        <v>0</v>
      </c>
      <c r="H77" t="str">
        <f t="shared" si="7"/>
        <v>Not Eligible</v>
      </c>
      <c r="I77" t="str">
        <f t="shared" si="8"/>
        <v>Poor</v>
      </c>
      <c r="J77" t="str">
        <f t="shared" si="9"/>
        <v>No incentive</v>
      </c>
    </row>
    <row r="78" spans="1:10">
      <c r="A78" t="s">
        <v>192</v>
      </c>
      <c r="B78" t="s">
        <v>74</v>
      </c>
      <c r="C78">
        <f>SUMIFS(Sales_Data!I:I,Sales_Data!B:B,'Incentive summary'!A78,Sales_Data!M:M,'Incentive summary'!B78)</f>
        <v>6800</v>
      </c>
      <c r="D78">
        <f>SUMIFS(Targets!C:C, Targets!A:A, A78, Targets!B:B, B78)</f>
        <v>5400</v>
      </c>
      <c r="E78" s="6">
        <f t="shared" si="5"/>
        <v>1.2592592592592593</v>
      </c>
      <c r="F78" s="6">
        <f>VLOOKUP(E78, Incentive!$A$1:$C$5, 3, TRUE)</f>
        <v>0.15</v>
      </c>
      <c r="G78">
        <f t="shared" si="6"/>
        <v>1020</v>
      </c>
      <c r="H78" t="str">
        <f t="shared" si="7"/>
        <v>Eligible</v>
      </c>
      <c r="I78" t="str">
        <f t="shared" si="8"/>
        <v>Excellent</v>
      </c>
      <c r="J78" t="str">
        <f t="shared" si="9"/>
        <v>High incentive</v>
      </c>
    </row>
    <row r="79" spans="1:10">
      <c r="A79" t="s">
        <v>193</v>
      </c>
      <c r="B79" t="s">
        <v>85</v>
      </c>
      <c r="C79">
        <f>SUMIFS(Sales_Data!I:I,Sales_Data!B:B,'Incentive summary'!A79,Sales_Data!M:M,'Incentive summary'!B79)</f>
        <v>1126</v>
      </c>
      <c r="D79">
        <f>SUMIFS(Targets!C:C, Targets!A:A, A79, Targets!B:B, B79)</f>
        <v>5500</v>
      </c>
      <c r="E79" s="6">
        <f t="shared" si="5"/>
        <v>0.20472727272727273</v>
      </c>
      <c r="F79" s="6">
        <f>VLOOKUP(E79, Incentive!$A$1:$C$5, 3, TRUE)</f>
        <v>0</v>
      </c>
      <c r="G79">
        <f t="shared" si="6"/>
        <v>0</v>
      </c>
      <c r="H79" t="str">
        <f t="shared" si="7"/>
        <v>Not Eligible</v>
      </c>
      <c r="I79" t="str">
        <f t="shared" si="8"/>
        <v>Poor</v>
      </c>
      <c r="J79" t="str">
        <f t="shared" si="9"/>
        <v>No incentive</v>
      </c>
    </row>
    <row r="80" spans="1:10">
      <c r="A80" t="s">
        <v>202</v>
      </c>
      <c r="B80" t="s">
        <v>150</v>
      </c>
      <c r="C80">
        <f>SUMIFS(Sales_Data!I:I,Sales_Data!B:B,'Incentive summary'!A80,Sales_Data!M:M,'Incentive summary'!B80)</f>
        <v>1126</v>
      </c>
      <c r="D80">
        <f>SUMIFS(Targets!C:C, Targets!A:A, A80, Targets!B:B, B80)</f>
        <v>5600</v>
      </c>
      <c r="E80" s="6">
        <f t="shared" si="5"/>
        <v>0.20107142857142857</v>
      </c>
      <c r="F80" s="6">
        <f>VLOOKUP(E80, Incentive!$A$1:$C$5, 3, TRUE)</f>
        <v>0</v>
      </c>
      <c r="G80">
        <f t="shared" si="6"/>
        <v>0</v>
      </c>
      <c r="H80" t="str">
        <f t="shared" si="7"/>
        <v>Not Eligible</v>
      </c>
      <c r="I80" t="str">
        <f t="shared" si="8"/>
        <v>Poor</v>
      </c>
      <c r="J80" t="str">
        <f t="shared" si="9"/>
        <v>No incentive</v>
      </c>
    </row>
    <row r="81" spans="1:10">
      <c r="A81" t="s">
        <v>203</v>
      </c>
      <c r="B81" t="s">
        <v>103</v>
      </c>
      <c r="C81">
        <f>SUMIFS(Sales_Data!I:I,Sales_Data!B:B,'Incentive summary'!A81,Sales_Data!M:M,'Incentive summary'!B81)</f>
        <v>7533</v>
      </c>
      <c r="D81">
        <f>SUMIFS(Targets!C:C, Targets!A:A, A81, Targets!B:B, B81)</f>
        <v>5700</v>
      </c>
      <c r="E81" s="6">
        <f t="shared" si="5"/>
        <v>1.321578947368421</v>
      </c>
      <c r="F81" s="6">
        <f>VLOOKUP(E81, Incentive!$A$1:$C$5, 3, TRUE)</f>
        <v>0.15</v>
      </c>
      <c r="G81">
        <f t="shared" si="6"/>
        <v>1129.95</v>
      </c>
      <c r="H81" t="str">
        <f t="shared" si="7"/>
        <v>Eligible</v>
      </c>
      <c r="I81" t="str">
        <f t="shared" si="8"/>
        <v>Excellent</v>
      </c>
      <c r="J81" t="str">
        <f t="shared" si="9"/>
        <v>High incentive</v>
      </c>
    </row>
    <row r="82" spans="1:10">
      <c r="A82" t="s">
        <v>190</v>
      </c>
      <c r="B82" t="s">
        <v>103</v>
      </c>
      <c r="C82">
        <f>SUMIFS(Sales_Data!I:I,Sales_Data!B:B,'Incentive summary'!A82,Sales_Data!M:M,'Incentive summary'!B82)</f>
        <v>4734</v>
      </c>
      <c r="D82">
        <f>SUMIFS(Targets!C:C, Targets!A:A, A82, Targets!B:B, B82)</f>
        <v>5800</v>
      </c>
      <c r="E82" s="6">
        <f t="shared" si="5"/>
        <v>0.81620689655172418</v>
      </c>
      <c r="F82" s="6">
        <f>VLOOKUP(E82, Incentive!$A$1:$C$5, 3, TRUE)</f>
        <v>0.05</v>
      </c>
      <c r="G82">
        <f t="shared" si="6"/>
        <v>236.70000000000002</v>
      </c>
      <c r="H82" t="str">
        <f t="shared" si="7"/>
        <v>Eligible</v>
      </c>
      <c r="I82" t="str">
        <f t="shared" si="8"/>
        <v>Average</v>
      </c>
      <c r="J82" t="str">
        <f t="shared" si="9"/>
        <v>Low incentive</v>
      </c>
    </row>
    <row r="83" spans="1:10">
      <c r="A83" t="s">
        <v>185</v>
      </c>
      <c r="B83" t="s">
        <v>103</v>
      </c>
      <c r="C83">
        <f>SUMIFS(Sales_Data!I:I,Sales_Data!B:B,'Incentive summary'!A83,Sales_Data!M:M,'Incentive summary'!B83)</f>
        <v>4074</v>
      </c>
      <c r="D83">
        <f>SUMIFS(Targets!C:C, Targets!A:A, A83, Targets!B:B, B83)</f>
        <v>5900</v>
      </c>
      <c r="E83" s="6">
        <f t="shared" si="5"/>
        <v>0.69050847457627118</v>
      </c>
      <c r="F83" s="6">
        <f>VLOOKUP(E83, Incentive!$A$1:$C$5, 3, TRUE)</f>
        <v>0</v>
      </c>
      <c r="G83">
        <f t="shared" si="6"/>
        <v>0</v>
      </c>
      <c r="H83" t="str">
        <f t="shared" si="7"/>
        <v>Not Eligible</v>
      </c>
      <c r="I83" t="str">
        <f t="shared" si="8"/>
        <v>Poor</v>
      </c>
      <c r="J83" t="str">
        <f t="shared" si="9"/>
        <v>No incentive</v>
      </c>
    </row>
    <row r="84" spans="1:10">
      <c r="A84" t="s">
        <v>186</v>
      </c>
      <c r="B84" t="s">
        <v>103</v>
      </c>
      <c r="C84">
        <f>SUMIFS(Sales_Data!I:I,Sales_Data!B:B,'Incentive summary'!A84,Sales_Data!M:M,'Incentive summary'!B84)</f>
        <v>2334</v>
      </c>
      <c r="D84">
        <f>SUMIFS(Targets!C:C, Targets!A:A, A84, Targets!B:B, B84)</f>
        <v>6000</v>
      </c>
      <c r="E84" s="6">
        <f t="shared" si="5"/>
        <v>0.38900000000000001</v>
      </c>
      <c r="F84" s="6">
        <f>VLOOKUP(E84, Incentive!$A$1:$C$5, 3, TRUE)</f>
        <v>0</v>
      </c>
      <c r="G84">
        <f t="shared" si="6"/>
        <v>0</v>
      </c>
      <c r="H84" t="str">
        <f t="shared" si="7"/>
        <v>Not Eligible</v>
      </c>
      <c r="I84" t="str">
        <f t="shared" si="8"/>
        <v>Poor</v>
      </c>
      <c r="J84" t="str">
        <f t="shared" si="9"/>
        <v>No incentive</v>
      </c>
    </row>
    <row r="85" spans="1:10">
      <c r="A85" t="s">
        <v>187</v>
      </c>
      <c r="B85" t="s">
        <v>155</v>
      </c>
      <c r="C85">
        <f>SUMIFS(Sales_Data!I:I,Sales_Data!B:B,'Incentive summary'!A85,Sales_Data!M:M,'Incentive summary'!B85)</f>
        <v>2750</v>
      </c>
      <c r="D85">
        <f>SUMIFS(Targets!C:C, Targets!A:A, A85, Targets!B:B, B85)</f>
        <v>6100</v>
      </c>
      <c r="E85" s="6">
        <f t="shared" si="5"/>
        <v>0.45081967213114754</v>
      </c>
      <c r="F85" s="6">
        <f>VLOOKUP(E85, Incentive!$A$1:$C$5, 3, TRUE)</f>
        <v>0</v>
      </c>
      <c r="G85">
        <f t="shared" si="6"/>
        <v>0</v>
      </c>
      <c r="H85" t="str">
        <f t="shared" si="7"/>
        <v>Not Eligible</v>
      </c>
      <c r="I85" t="str">
        <f t="shared" si="8"/>
        <v>Poor</v>
      </c>
      <c r="J85" t="str">
        <f t="shared" si="9"/>
        <v>No incentive</v>
      </c>
    </row>
    <row r="86" spans="1:10">
      <c r="A86" t="s">
        <v>188</v>
      </c>
      <c r="B86" t="s">
        <v>157</v>
      </c>
      <c r="C86">
        <f>SUMIFS(Sales_Data!I:I,Sales_Data!B:B,'Incentive summary'!A86,Sales_Data!M:M,'Incentive summary'!B86)</f>
        <v>2750</v>
      </c>
      <c r="D86">
        <f>SUMIFS(Targets!C:C, Targets!A:A, A86, Targets!B:B, B86)</f>
        <v>6200</v>
      </c>
      <c r="E86" s="6">
        <f t="shared" si="5"/>
        <v>0.44354838709677419</v>
      </c>
      <c r="F86" s="6">
        <f>VLOOKUP(E86, Incentive!$A$1:$C$5, 3, TRUE)</f>
        <v>0</v>
      </c>
      <c r="G86">
        <f t="shared" si="6"/>
        <v>0</v>
      </c>
      <c r="H86" t="str">
        <f t="shared" si="7"/>
        <v>Not Eligible</v>
      </c>
      <c r="I86" t="str">
        <f t="shared" si="8"/>
        <v>Poor</v>
      </c>
      <c r="J86" t="str">
        <f t="shared" si="9"/>
        <v>No incentive</v>
      </c>
    </row>
    <row r="87" spans="1:10">
      <c r="A87" t="s">
        <v>189</v>
      </c>
      <c r="B87" t="s">
        <v>155</v>
      </c>
      <c r="C87">
        <f>SUMIFS(Sales_Data!I:I,Sales_Data!B:B,'Incentive summary'!A87,Sales_Data!M:M,'Incentive summary'!B87)</f>
        <v>8639</v>
      </c>
      <c r="D87">
        <f>SUMIFS(Targets!C:C, Targets!A:A, A87, Targets!B:B, B87)</f>
        <v>6300</v>
      </c>
      <c r="E87" s="6">
        <f t="shared" si="5"/>
        <v>1.3712698412698412</v>
      </c>
      <c r="F87" s="6">
        <f>VLOOKUP(E87, Incentive!$A$1:$C$5, 3, TRUE)</f>
        <v>0.15</v>
      </c>
      <c r="G87">
        <f t="shared" si="6"/>
        <v>1295.8499999999999</v>
      </c>
      <c r="H87" t="str">
        <f t="shared" si="7"/>
        <v>Eligible</v>
      </c>
      <c r="I87" t="str">
        <f t="shared" si="8"/>
        <v>Excellent</v>
      </c>
      <c r="J87" t="str">
        <f t="shared" si="9"/>
        <v>High incentive</v>
      </c>
    </row>
    <row r="88" spans="1:10">
      <c r="A88" t="s">
        <v>190</v>
      </c>
      <c r="B88" t="s">
        <v>157</v>
      </c>
      <c r="C88">
        <f>SUMIFS(Sales_Data!I:I,Sales_Data!B:B,'Incentive summary'!A88,Sales_Data!M:M,'Incentive summary'!B88)</f>
        <v>8639</v>
      </c>
      <c r="D88">
        <f>SUMIFS(Targets!C:C, Targets!A:A, A88, Targets!B:B, B88)</f>
        <v>6400</v>
      </c>
      <c r="E88" s="6">
        <f t="shared" si="5"/>
        <v>1.34984375</v>
      </c>
      <c r="F88" s="6">
        <f>VLOOKUP(E88, Incentive!$A$1:$C$5, 3, TRUE)</f>
        <v>0.15</v>
      </c>
      <c r="G88">
        <f t="shared" si="6"/>
        <v>1295.8499999999999</v>
      </c>
      <c r="H88" t="str">
        <f t="shared" si="7"/>
        <v>Eligible</v>
      </c>
      <c r="I88" t="str">
        <f t="shared" si="8"/>
        <v>Excellent</v>
      </c>
      <c r="J88" t="str">
        <f t="shared" si="9"/>
        <v>High incentive</v>
      </c>
    </row>
    <row r="89" spans="1:10">
      <c r="A89" t="s">
        <v>191</v>
      </c>
      <c r="B89" t="s">
        <v>160</v>
      </c>
      <c r="C89">
        <f>SUMIFS(Sales_Data!I:I,Sales_Data!B:B,'Incentive summary'!A89,Sales_Data!M:M,'Incentive summary'!B89)</f>
        <v>3808</v>
      </c>
      <c r="D89">
        <f>SUMIFS(Targets!C:C, Targets!A:A, A89, Targets!B:B, B89)</f>
        <v>6500</v>
      </c>
      <c r="E89" s="6">
        <f t="shared" si="5"/>
        <v>0.58584615384615379</v>
      </c>
      <c r="F89" s="6">
        <f>VLOOKUP(E89, Incentive!$A$1:$C$5, 3, TRUE)</f>
        <v>0</v>
      </c>
      <c r="G89">
        <f t="shared" si="6"/>
        <v>0</v>
      </c>
      <c r="H89" t="str">
        <f t="shared" si="7"/>
        <v>Not Eligible</v>
      </c>
      <c r="I89" t="str">
        <f t="shared" si="8"/>
        <v>Poor</v>
      </c>
      <c r="J89" t="str">
        <f t="shared" si="9"/>
        <v>No incentive</v>
      </c>
    </row>
    <row r="90" spans="1:10">
      <c r="A90" t="s">
        <v>192</v>
      </c>
      <c r="B90" t="s">
        <v>160</v>
      </c>
      <c r="C90">
        <f>SUMIFS(Sales_Data!I:I,Sales_Data!B:B,'Incentive summary'!A90,Sales_Data!M:M,'Incentive summary'!B90)</f>
        <v>2588</v>
      </c>
      <c r="D90">
        <f>SUMIFS(Targets!C:C, Targets!A:A, A90, Targets!B:B, B90)</f>
        <v>6600</v>
      </c>
      <c r="E90" s="6">
        <f t="shared" si="5"/>
        <v>0.39212121212121215</v>
      </c>
      <c r="F90" s="6">
        <f>VLOOKUP(E90, Incentive!$A$1:$C$5, 3, TRUE)</f>
        <v>0</v>
      </c>
      <c r="G90">
        <f t="shared" si="6"/>
        <v>0</v>
      </c>
      <c r="H90" t="str">
        <f t="shared" si="7"/>
        <v>Not Eligible</v>
      </c>
      <c r="I90" t="str">
        <f t="shared" si="8"/>
        <v>Poor</v>
      </c>
      <c r="J90" t="str">
        <f t="shared" si="9"/>
        <v>No incentive</v>
      </c>
    </row>
    <row r="91" spans="1:10">
      <c r="A91" t="s">
        <v>193</v>
      </c>
      <c r="B91" t="s">
        <v>163</v>
      </c>
      <c r="C91">
        <f>SUMIFS(Sales_Data!I:I,Sales_Data!B:B,'Incentive summary'!A91,Sales_Data!M:M,'Incentive summary'!B91)</f>
        <v>1591</v>
      </c>
      <c r="D91">
        <f>SUMIFS(Targets!C:C, Targets!A:A, A91, Targets!B:B, B91)</f>
        <v>6700</v>
      </c>
      <c r="E91" s="6">
        <f t="shared" si="5"/>
        <v>0.23746268656716418</v>
      </c>
      <c r="F91" s="6">
        <f>VLOOKUP(E91, Incentive!$A$1:$C$5, 3, TRUE)</f>
        <v>0</v>
      </c>
      <c r="G91">
        <f t="shared" si="6"/>
        <v>0</v>
      </c>
      <c r="H91" t="str">
        <f t="shared" si="7"/>
        <v>Not Eligible</v>
      </c>
      <c r="I91" t="str">
        <f t="shared" si="8"/>
        <v>Poor</v>
      </c>
      <c r="J91" t="str">
        <f t="shared" si="9"/>
        <v>No incentive</v>
      </c>
    </row>
    <row r="92" spans="1:10">
      <c r="A92" t="s">
        <v>194</v>
      </c>
      <c r="B92" t="s">
        <v>165</v>
      </c>
      <c r="C92">
        <f>SUMIFS(Sales_Data!I:I,Sales_Data!B:B,'Incentive summary'!A92,Sales_Data!M:M,'Incentive summary'!B92)</f>
        <v>1591</v>
      </c>
      <c r="D92">
        <f>SUMIFS(Targets!C:C, Targets!A:A, A92, Targets!B:B, B92)</f>
        <v>6800</v>
      </c>
      <c r="E92" s="6">
        <f t="shared" si="5"/>
        <v>0.23397058823529412</v>
      </c>
      <c r="F92" s="6">
        <f>VLOOKUP(E92, Incentive!$A$1:$C$5, 3, TRUE)</f>
        <v>0</v>
      </c>
      <c r="G92">
        <f t="shared" si="6"/>
        <v>0</v>
      </c>
      <c r="H92" t="str">
        <f t="shared" si="7"/>
        <v>Not Eligible</v>
      </c>
      <c r="I92" t="str">
        <f t="shared" si="8"/>
        <v>Poor</v>
      </c>
      <c r="J92" t="str">
        <f t="shared" si="9"/>
        <v>No incentive</v>
      </c>
    </row>
    <row r="93" spans="1:10">
      <c r="A93" t="s">
        <v>195</v>
      </c>
      <c r="B93" t="s">
        <v>135</v>
      </c>
      <c r="C93">
        <f>SUMIFS(Sales_Data!I:I,Sales_Data!B:B,'Incentive summary'!A93,Sales_Data!M:M,'Incentive summary'!B93)</f>
        <v>1591</v>
      </c>
      <c r="D93">
        <f>SUMIFS(Targets!C:C, Targets!A:A, A93, Targets!B:B, B93)</f>
        <v>6900</v>
      </c>
      <c r="E93" s="6">
        <f t="shared" si="5"/>
        <v>0.23057971014492754</v>
      </c>
      <c r="F93" s="6">
        <f>VLOOKUP(E93, Incentive!$A$1:$C$5, 3, TRUE)</f>
        <v>0</v>
      </c>
      <c r="G93">
        <f t="shared" si="6"/>
        <v>0</v>
      </c>
      <c r="H93" t="str">
        <f t="shared" si="7"/>
        <v>Not Eligible</v>
      </c>
      <c r="I93" t="str">
        <f t="shared" si="8"/>
        <v>Poor</v>
      </c>
      <c r="J93" t="str">
        <f t="shared" si="9"/>
        <v>No incentive</v>
      </c>
    </row>
    <row r="94" spans="1:10">
      <c r="A94" t="s">
        <v>196</v>
      </c>
      <c r="B94" t="s">
        <v>132</v>
      </c>
      <c r="C94">
        <f>SUMIFS(Sales_Data!I:I,Sales_Data!B:B,'Incentive summary'!A94,Sales_Data!M:M,'Incentive summary'!B94)</f>
        <v>1757</v>
      </c>
      <c r="D94">
        <f>SUMIFS(Targets!C:C, Targets!A:A, A94, Targets!B:B, B94)</f>
        <v>7000</v>
      </c>
      <c r="E94" s="6">
        <f t="shared" si="5"/>
        <v>0.251</v>
      </c>
      <c r="F94" s="6">
        <f>VLOOKUP(E94, Incentive!$A$1:$C$5, 3, TRUE)</f>
        <v>0</v>
      </c>
      <c r="G94">
        <f t="shared" si="6"/>
        <v>0</v>
      </c>
      <c r="H94" t="str">
        <f t="shared" si="7"/>
        <v>Not Eligible</v>
      </c>
      <c r="I94" t="str">
        <f t="shared" si="8"/>
        <v>Poor</v>
      </c>
      <c r="J94" t="str">
        <f t="shared" si="9"/>
        <v>No incentive</v>
      </c>
    </row>
    <row r="95" spans="1:10">
      <c r="A95" t="s">
        <v>197</v>
      </c>
      <c r="B95" t="s">
        <v>42</v>
      </c>
      <c r="C95">
        <f>SUMIFS(Sales_Data!I:I,Sales_Data!B:B,'Incentive summary'!A95,Sales_Data!M:M,'Incentive summary'!B95)</f>
        <v>1757</v>
      </c>
      <c r="D95">
        <f>SUMIFS(Targets!C:C, Targets!A:A, A95, Targets!B:B, B95)</f>
        <v>7100</v>
      </c>
      <c r="E95" s="6">
        <f t="shared" si="5"/>
        <v>0.24746478873239436</v>
      </c>
      <c r="F95" s="6">
        <f>VLOOKUP(E95, Incentive!$A$1:$C$5, 3, TRUE)</f>
        <v>0</v>
      </c>
      <c r="G95">
        <f t="shared" si="6"/>
        <v>0</v>
      </c>
      <c r="H95" t="str">
        <f t="shared" si="7"/>
        <v>Not Eligible</v>
      </c>
      <c r="I95" t="str">
        <f t="shared" si="8"/>
        <v>Poor</v>
      </c>
      <c r="J95" t="str">
        <f t="shared" si="9"/>
        <v>No incentive</v>
      </c>
    </row>
    <row r="96" spans="1:10">
      <c r="A96" t="s">
        <v>198</v>
      </c>
      <c r="B96" t="s">
        <v>173</v>
      </c>
      <c r="C96">
        <f>SUMIFS(Sales_Data!I:I,Sales_Data!B:B,'Incentive summary'!A96,Sales_Data!M:M,'Incentive summary'!B96)</f>
        <v>6940</v>
      </c>
      <c r="D96">
        <f>SUMIFS(Targets!C:C, Targets!A:A, A96, Targets!B:B, B96)</f>
        <v>7200</v>
      </c>
      <c r="E96" s="6">
        <f t="shared" si="5"/>
        <v>0.96388888888888891</v>
      </c>
      <c r="F96" s="6">
        <f>VLOOKUP(E96, Incentive!$A$1:$C$5, 3, TRUE)</f>
        <v>0.05</v>
      </c>
      <c r="G96">
        <f t="shared" si="6"/>
        <v>347</v>
      </c>
      <c r="H96" t="str">
        <f t="shared" si="7"/>
        <v>Eligible</v>
      </c>
      <c r="I96" t="str">
        <f t="shared" si="8"/>
        <v>Average</v>
      </c>
      <c r="J96" t="str">
        <f t="shared" si="9"/>
        <v>Low incentive</v>
      </c>
    </row>
    <row r="97" spans="1:10">
      <c r="A97" t="s">
        <v>199</v>
      </c>
      <c r="B97" t="s">
        <v>173</v>
      </c>
      <c r="C97">
        <f>SUMIFS(Sales_Data!I:I,Sales_Data!B:B,'Incentive summary'!A97,Sales_Data!M:M,'Incentive summary'!B97)</f>
        <v>5105</v>
      </c>
      <c r="D97">
        <f>SUMIFS(Targets!C:C, Targets!A:A, A97, Targets!B:B, B97)</f>
        <v>7300</v>
      </c>
      <c r="E97" s="6">
        <f t="shared" si="5"/>
        <v>0.69931506849315073</v>
      </c>
      <c r="F97" s="6">
        <f>VLOOKUP(E97, Incentive!$A$1:$C$5, 3, TRUE)</f>
        <v>0</v>
      </c>
      <c r="G97">
        <f t="shared" si="6"/>
        <v>0</v>
      </c>
      <c r="H97" t="str">
        <f t="shared" si="7"/>
        <v>Not Eligible</v>
      </c>
      <c r="I97" t="str">
        <f t="shared" si="8"/>
        <v>Poor</v>
      </c>
      <c r="J97" t="str">
        <f t="shared" si="9"/>
        <v>No incentive</v>
      </c>
    </row>
    <row r="98" spans="1:10">
      <c r="A98" t="s">
        <v>200</v>
      </c>
      <c r="B98" t="s">
        <v>176</v>
      </c>
      <c r="C98">
        <f>SUMIFS(Sales_Data!I:I,Sales_Data!B:B,'Incentive summary'!A98,Sales_Data!M:M,'Incentive summary'!B98)</f>
        <v>5578</v>
      </c>
      <c r="D98">
        <f>SUMIFS(Targets!C:C, Targets!A:A, A98, Targets!B:B, B98)</f>
        <v>7400</v>
      </c>
      <c r="E98" s="6">
        <f t="shared" si="5"/>
        <v>0.75378378378378375</v>
      </c>
      <c r="F98" s="6">
        <f>VLOOKUP(E98, Incentive!$A$1:$C$5, 3, TRUE)</f>
        <v>0</v>
      </c>
      <c r="G98">
        <f t="shared" si="6"/>
        <v>0</v>
      </c>
      <c r="H98" t="str">
        <f t="shared" si="7"/>
        <v>Not Eligible</v>
      </c>
      <c r="I98" t="str">
        <f t="shared" si="8"/>
        <v>Poor</v>
      </c>
      <c r="J98" t="str">
        <f t="shared" si="9"/>
        <v>No incentive</v>
      </c>
    </row>
    <row r="99" spans="1:10">
      <c r="A99" t="s">
        <v>201</v>
      </c>
      <c r="B99" t="s">
        <v>178</v>
      </c>
      <c r="C99">
        <f>SUMIFS(Sales_Data!I:I,Sales_Data!B:B,'Incentive summary'!A99,Sales_Data!M:M,'Incentive summary'!B99)</f>
        <v>5578</v>
      </c>
      <c r="D99">
        <f>SUMIFS(Targets!C:C, Targets!A:A, A99, Targets!B:B, B99)</f>
        <v>7500</v>
      </c>
      <c r="E99" s="6">
        <f t="shared" si="5"/>
        <v>0.74373333333333336</v>
      </c>
      <c r="F99" s="6">
        <f>VLOOKUP(E99, Incentive!$A$1:$C$5, 3, TRUE)</f>
        <v>0</v>
      </c>
      <c r="G99">
        <f t="shared" si="6"/>
        <v>0</v>
      </c>
      <c r="H99" t="str">
        <f t="shared" si="7"/>
        <v>Not Eligible</v>
      </c>
      <c r="I99" t="str">
        <f t="shared" si="8"/>
        <v>Poor</v>
      </c>
      <c r="J99" t="str">
        <f t="shared" si="9"/>
        <v>No incentive</v>
      </c>
    </row>
    <row r="100" spans="1:10">
      <c r="A100" t="s">
        <v>196</v>
      </c>
      <c r="B100" t="s">
        <v>103</v>
      </c>
      <c r="C100">
        <f>SUMIFS(Sales_Data!I:I,Sales_Data!B:B,'Incentive summary'!A100,Sales_Data!M:M,'Incentive summary'!B100)</f>
        <v>5224</v>
      </c>
      <c r="D100">
        <f>SUMIFS(Targets!C:C, Targets!A:A, A100, Targets!B:B, B100)</f>
        <v>7600</v>
      </c>
      <c r="E100" s="6">
        <f t="shared" si="5"/>
        <v>0.68736842105263163</v>
      </c>
      <c r="F100" s="6">
        <f>VLOOKUP(E100, Incentive!$A$1:$C$5, 3, TRUE)</f>
        <v>0</v>
      </c>
      <c r="G100">
        <f t="shared" si="6"/>
        <v>0</v>
      </c>
      <c r="H100" t="str">
        <f t="shared" si="7"/>
        <v>Not Eligible</v>
      </c>
      <c r="I100" t="str">
        <f t="shared" si="8"/>
        <v>Poor</v>
      </c>
      <c r="J100" t="str">
        <f t="shared" si="9"/>
        <v>No incentive</v>
      </c>
    </row>
    <row r="101" spans="1:10">
      <c r="A101" t="s">
        <v>197</v>
      </c>
      <c r="B101" t="s">
        <v>103</v>
      </c>
      <c r="C101">
        <f>SUMIFS(Sales_Data!I:I,Sales_Data!B:B,'Incentive summary'!A101,Sales_Data!M:M,'Incentive summary'!B101)</f>
        <v>5002</v>
      </c>
      <c r="D101">
        <f>SUMIFS(Targets!C:C, Targets!A:A, A101, Targets!B:B, B101)</f>
        <v>7700</v>
      </c>
      <c r="E101" s="6">
        <f t="shared" si="5"/>
        <v>0.64961038961038964</v>
      </c>
      <c r="F101" s="6">
        <f>VLOOKUP(E101, Incentive!$A$1:$C$5, 3, TRUE)</f>
        <v>0</v>
      </c>
      <c r="G101">
        <f t="shared" si="6"/>
        <v>0</v>
      </c>
      <c r="H101" t="str">
        <f t="shared" si="7"/>
        <v>Not Eligible</v>
      </c>
      <c r="I101" t="str">
        <f t="shared" si="8"/>
        <v>Poor</v>
      </c>
      <c r="J101" t="str">
        <f t="shared" si="9"/>
        <v>No incentive</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showGridLines="0" tabSelected="1" zoomScale="58" zoomScaleNormal="58" workbookViewId="0">
      <selection activeCell="U28" sqref="U28"/>
    </sheetView>
  </sheetViews>
  <sheetFormatPr defaultRowHeight="14.5"/>
  <cols>
    <col min="1" max="1" width="17.36328125" customWidth="1"/>
    <col min="2" max="2" width="26.54296875" customWidth="1"/>
    <col min="4" max="4" width="42.81640625" customWidth="1"/>
    <col min="6" max="6" width="27.36328125" bestFit="1" customWidth="1"/>
    <col min="7" max="7" width="16.54296875" customWidth="1"/>
    <col min="8" max="8" width="18.7265625" customWidth="1"/>
    <col min="9" max="9" width="26.54296875" customWidth="1"/>
    <col min="10" max="10" width="4.1796875" customWidth="1"/>
    <col min="17" max="17" width="8.7265625" customWidth="1"/>
    <col min="18" max="18" width="8.984375E-2" customWidth="1"/>
  </cols>
  <sheetData>
    <row r="1" spans="1:18">
      <c r="A1" s="64" t="s">
        <v>253</v>
      </c>
      <c r="B1" s="65"/>
      <c r="C1" s="65"/>
      <c r="D1" s="65"/>
      <c r="E1" s="65"/>
      <c r="F1" s="65"/>
      <c r="G1" s="65"/>
      <c r="H1" s="65"/>
      <c r="I1" s="65"/>
      <c r="J1" s="65"/>
      <c r="K1" s="65"/>
      <c r="L1" s="65"/>
      <c r="M1" s="65"/>
      <c r="N1" s="65"/>
      <c r="O1" s="65"/>
      <c r="P1" s="65"/>
      <c r="Q1" s="65"/>
      <c r="R1" s="65"/>
    </row>
    <row r="2" spans="1:18" ht="15" thickBot="1">
      <c r="A2" s="66"/>
      <c r="B2" s="66"/>
      <c r="C2" s="66"/>
      <c r="D2" s="66"/>
      <c r="E2" s="66"/>
      <c r="F2" s="66"/>
      <c r="G2" s="66"/>
      <c r="H2" s="66"/>
      <c r="I2" s="66"/>
      <c r="J2" s="66"/>
      <c r="K2" s="66"/>
      <c r="L2" s="66"/>
      <c r="M2" s="66"/>
      <c r="N2" s="66"/>
      <c r="O2" s="66"/>
      <c r="P2" s="66"/>
      <c r="Q2" s="66"/>
      <c r="R2" s="66"/>
    </row>
    <row r="3" spans="1:18" ht="21">
      <c r="A3" s="58" t="s">
        <v>227</v>
      </c>
      <c r="B3" s="59"/>
      <c r="C3" s="17"/>
      <c r="D3" s="12" t="s">
        <v>221</v>
      </c>
      <c r="E3" s="17"/>
      <c r="F3" s="13" t="s">
        <v>222</v>
      </c>
      <c r="G3" s="14"/>
      <c r="H3" s="17"/>
      <c r="I3" s="13" t="s">
        <v>252</v>
      </c>
      <c r="J3" s="14"/>
      <c r="K3" s="17"/>
      <c r="L3" s="17"/>
      <c r="M3" s="17"/>
      <c r="N3" s="17"/>
      <c r="O3" s="17"/>
      <c r="P3" s="17"/>
      <c r="Q3" s="17"/>
      <c r="R3" s="18"/>
    </row>
    <row r="4" spans="1:18">
      <c r="A4" s="54">
        <f>SUM('Incentive summary'!G:G)</f>
        <v>53332.249999999993</v>
      </c>
      <c r="B4" s="55"/>
      <c r="C4" s="19"/>
      <c r="D4" s="60" t="str">
        <f>INDEX(Incentive!F3:F25,MATCH(MAX(Incentive!G3:G25),Incentive!G3:G25,0))</f>
        <v>Aditya Rao</v>
      </c>
      <c r="E4" s="19"/>
      <c r="F4" s="62">
        <f>AVERAGE('Incentive summary'!E:E)</f>
        <v>1.6380883546301175</v>
      </c>
      <c r="G4" s="15"/>
      <c r="H4" s="19"/>
      <c r="I4" s="67">
        <f>COUNTA(Incentive!F2:F25)</f>
        <v>24</v>
      </c>
      <c r="J4" s="15"/>
      <c r="K4" s="19"/>
      <c r="L4" s="19"/>
      <c r="M4" s="19"/>
      <c r="N4" s="19"/>
      <c r="O4" s="19"/>
      <c r="P4" s="19"/>
      <c r="Q4" s="19"/>
      <c r="R4" s="20"/>
    </row>
    <row r="5" spans="1:18" ht="15" thickBot="1">
      <c r="A5" s="56"/>
      <c r="B5" s="57"/>
      <c r="C5" s="19"/>
      <c r="D5" s="61"/>
      <c r="E5" s="19"/>
      <c r="F5" s="63"/>
      <c r="G5" s="16"/>
      <c r="H5" s="19"/>
      <c r="I5" s="68"/>
      <c r="J5" s="16"/>
      <c r="K5" s="19"/>
      <c r="L5" s="19"/>
      <c r="M5" s="19"/>
      <c r="N5" s="19"/>
      <c r="O5" s="19"/>
      <c r="P5" s="19"/>
      <c r="Q5" s="19"/>
      <c r="R5" s="20"/>
    </row>
    <row r="6" spans="1:18" ht="21.5" thickBot="1">
      <c r="A6" s="21"/>
      <c r="B6" s="22"/>
      <c r="C6" s="23"/>
      <c r="D6" s="24"/>
      <c r="E6" s="23"/>
      <c r="F6" s="25"/>
      <c r="G6" s="23"/>
      <c r="H6" s="23"/>
      <c r="I6" s="23"/>
      <c r="J6" s="23"/>
      <c r="K6" s="23"/>
      <c r="L6" s="23"/>
      <c r="M6" s="23"/>
      <c r="N6" s="23"/>
      <c r="O6" s="23"/>
      <c r="P6" s="23"/>
      <c r="Q6" s="23"/>
      <c r="R6" s="26"/>
    </row>
    <row r="7" spans="1:18" ht="21.5" thickBot="1">
      <c r="C7" s="9"/>
      <c r="D7" s="10"/>
      <c r="E7" s="9"/>
      <c r="F7" s="11"/>
      <c r="G7" s="9"/>
      <c r="H7" s="9"/>
      <c r="I7" s="9"/>
      <c r="J7" s="9"/>
      <c r="K7" s="9"/>
      <c r="L7" s="9"/>
      <c r="M7" s="9"/>
      <c r="N7" s="9"/>
      <c r="O7" s="9"/>
      <c r="P7" s="9"/>
      <c r="Q7" s="9"/>
      <c r="R7" s="9"/>
    </row>
    <row r="8" spans="1:18" ht="15" thickBot="1">
      <c r="A8" s="9"/>
      <c r="B8" s="9"/>
      <c r="C8" s="9"/>
      <c r="D8" s="9"/>
      <c r="E8" s="9"/>
      <c r="F8" s="9"/>
      <c r="G8" s="9"/>
      <c r="H8" s="9"/>
      <c r="I8" s="9"/>
      <c r="J8" s="9"/>
      <c r="K8" s="9"/>
      <c r="L8" s="9"/>
      <c r="M8" s="9"/>
      <c r="N8" s="9"/>
      <c r="O8" s="9"/>
      <c r="P8" s="9"/>
      <c r="Q8" s="9"/>
      <c r="R8" s="9"/>
    </row>
    <row r="9" spans="1:18" ht="15" thickBot="1">
      <c r="A9" s="37" t="s">
        <v>225</v>
      </c>
      <c r="B9" s="37" t="s">
        <v>224</v>
      </c>
      <c r="C9" s="9"/>
      <c r="D9" s="9"/>
      <c r="E9" s="9"/>
      <c r="F9" s="9"/>
      <c r="G9" s="37" t="s">
        <v>223</v>
      </c>
      <c r="H9" s="46" t="s">
        <v>226</v>
      </c>
      <c r="I9" s="47" t="s">
        <v>224</v>
      </c>
      <c r="J9" s="9"/>
      <c r="K9" s="9"/>
      <c r="L9" s="9"/>
      <c r="M9" s="9"/>
      <c r="N9" s="9"/>
      <c r="O9" s="9"/>
      <c r="P9" s="9"/>
      <c r="Q9" s="9"/>
      <c r="R9" s="9"/>
    </row>
    <row r="10" spans="1:18">
      <c r="A10" s="38" t="s">
        <v>190</v>
      </c>
      <c r="B10" s="39">
        <v>5610.15</v>
      </c>
      <c r="C10" s="9"/>
      <c r="D10" s="9"/>
      <c r="E10" s="9"/>
      <c r="F10" s="9"/>
      <c r="G10" s="38" t="s">
        <v>117</v>
      </c>
      <c r="H10" s="50">
        <v>5.1419642857142858</v>
      </c>
      <c r="I10" s="48">
        <v>1530.25</v>
      </c>
      <c r="J10" s="9"/>
      <c r="K10" s="9"/>
      <c r="L10" s="9"/>
      <c r="M10" s="9"/>
      <c r="N10" s="9"/>
      <c r="O10" s="9"/>
      <c r="P10" s="9"/>
      <c r="Q10" s="9"/>
      <c r="R10" s="9"/>
    </row>
    <row r="11" spans="1:18">
      <c r="A11" s="40" t="s">
        <v>186</v>
      </c>
      <c r="B11" s="41">
        <v>3910.4</v>
      </c>
      <c r="C11" s="9"/>
      <c r="D11" s="9"/>
      <c r="E11" s="9"/>
      <c r="F11" s="9"/>
      <c r="G11" s="40" t="s">
        <v>78</v>
      </c>
      <c r="H11" s="51">
        <v>5.3414713769757372</v>
      </c>
      <c r="I11" s="44">
        <v>2357.7999999999997</v>
      </c>
      <c r="J11" s="9"/>
      <c r="K11" s="9"/>
      <c r="L11" s="9"/>
      <c r="M11" s="9"/>
      <c r="N11" s="9"/>
      <c r="O11" s="9"/>
      <c r="P11" s="9"/>
      <c r="Q11" s="9"/>
      <c r="R11" s="9"/>
    </row>
    <row r="12" spans="1:18">
      <c r="A12" s="40" t="s">
        <v>187</v>
      </c>
      <c r="B12" s="41">
        <v>3253.95</v>
      </c>
      <c r="C12" s="9"/>
      <c r="D12" s="9"/>
      <c r="E12" s="9"/>
      <c r="F12" s="9"/>
      <c r="G12" s="40" t="s">
        <v>137</v>
      </c>
      <c r="H12" s="51">
        <v>4.9562310903774316</v>
      </c>
      <c r="I12" s="44">
        <v>2660.15</v>
      </c>
      <c r="J12" s="9"/>
      <c r="K12" s="9"/>
      <c r="L12" s="9"/>
      <c r="M12" s="9"/>
      <c r="N12" s="9"/>
      <c r="O12" s="9"/>
      <c r="P12" s="9"/>
      <c r="Q12" s="9"/>
      <c r="R12" s="9"/>
    </row>
    <row r="13" spans="1:18">
      <c r="A13" s="40" t="s">
        <v>188</v>
      </c>
      <c r="B13" s="41">
        <v>2516.0500000000002</v>
      </c>
      <c r="C13" s="9"/>
      <c r="D13" s="9"/>
      <c r="E13" s="9"/>
      <c r="F13" s="9"/>
      <c r="G13" s="40" t="s">
        <v>106</v>
      </c>
      <c r="H13" s="51">
        <v>6.9551190476190481</v>
      </c>
      <c r="I13" s="44">
        <v>1359.3</v>
      </c>
      <c r="J13" s="9"/>
      <c r="K13" s="9"/>
      <c r="L13" s="9"/>
      <c r="M13" s="9"/>
      <c r="N13" s="9"/>
      <c r="O13" s="9"/>
      <c r="P13" s="9"/>
      <c r="Q13" s="9"/>
      <c r="R13" s="9"/>
    </row>
    <row r="14" spans="1:18">
      <c r="A14" s="40" t="s">
        <v>185</v>
      </c>
      <c r="B14" s="41">
        <v>3414.75</v>
      </c>
      <c r="C14" s="9"/>
      <c r="D14" s="9"/>
      <c r="E14" s="9"/>
      <c r="F14" s="9"/>
      <c r="G14" s="40" t="s">
        <v>123</v>
      </c>
      <c r="H14" s="51">
        <v>4.2679928315412186</v>
      </c>
      <c r="I14" s="44">
        <v>1761.45</v>
      </c>
      <c r="J14" s="9"/>
      <c r="K14" s="9"/>
      <c r="L14" s="9"/>
      <c r="M14" s="9"/>
      <c r="N14" s="9"/>
      <c r="O14" s="9"/>
      <c r="P14" s="9"/>
      <c r="Q14" s="9"/>
      <c r="R14" s="9"/>
    </row>
    <row r="15" spans="1:18">
      <c r="A15" s="40" t="s">
        <v>201</v>
      </c>
      <c r="B15" s="41">
        <v>3069.2999999999997</v>
      </c>
      <c r="C15" s="9"/>
      <c r="D15" s="9"/>
      <c r="E15" s="9"/>
      <c r="F15" s="9"/>
      <c r="G15" s="40" t="s">
        <v>35</v>
      </c>
      <c r="H15" s="51">
        <v>4.1978116136736823</v>
      </c>
      <c r="I15" s="44">
        <v>1761.45</v>
      </c>
      <c r="J15" s="9"/>
      <c r="K15" s="9"/>
      <c r="L15" s="9"/>
      <c r="M15" s="9"/>
      <c r="N15" s="9"/>
      <c r="O15" s="9"/>
      <c r="P15" s="9"/>
      <c r="Q15" s="9"/>
      <c r="R15" s="9"/>
    </row>
    <row r="16" spans="1:18">
      <c r="A16" s="40" t="s">
        <v>189</v>
      </c>
      <c r="B16" s="41">
        <v>3946.7999999999997</v>
      </c>
      <c r="C16" s="9"/>
      <c r="D16" s="9"/>
      <c r="E16" s="9"/>
      <c r="F16" s="9"/>
      <c r="G16" s="40" t="s">
        <v>85</v>
      </c>
      <c r="H16" s="51">
        <v>12.306509881422924</v>
      </c>
      <c r="I16" s="44">
        <v>2857.2</v>
      </c>
      <c r="J16" s="9"/>
      <c r="K16" s="9"/>
      <c r="L16" s="9"/>
      <c r="M16" s="9"/>
      <c r="N16" s="9"/>
      <c r="O16" s="9"/>
      <c r="P16" s="9"/>
      <c r="Q16" s="9"/>
      <c r="R16" s="9"/>
    </row>
    <row r="17" spans="1:18">
      <c r="A17" s="40" t="s">
        <v>197</v>
      </c>
      <c r="B17" s="41">
        <v>2511.1499999999996</v>
      </c>
      <c r="C17" s="9"/>
      <c r="D17" s="9"/>
      <c r="E17" s="9"/>
      <c r="F17" s="9"/>
      <c r="G17" s="40" t="s">
        <v>135</v>
      </c>
      <c r="H17" s="51">
        <v>5.3182390668700732</v>
      </c>
      <c r="I17" s="44">
        <v>2660.15</v>
      </c>
      <c r="J17" s="9"/>
      <c r="K17" s="9"/>
      <c r="L17" s="9"/>
      <c r="M17" s="9"/>
      <c r="N17" s="9"/>
      <c r="O17" s="9"/>
      <c r="P17" s="9"/>
      <c r="Q17" s="9"/>
      <c r="R17" s="9"/>
    </row>
    <row r="18" spans="1:18">
      <c r="A18" s="40" t="s">
        <v>198</v>
      </c>
      <c r="B18" s="41">
        <v>3643.9</v>
      </c>
      <c r="C18" s="9"/>
      <c r="D18" s="9"/>
      <c r="E18" s="9"/>
      <c r="F18" s="9"/>
      <c r="G18" s="40" t="s">
        <v>94</v>
      </c>
      <c r="H18" s="51">
        <v>7.9470757575757567</v>
      </c>
      <c r="I18" s="44">
        <v>1616.3999999999999</v>
      </c>
      <c r="J18" s="9"/>
      <c r="K18" s="9"/>
      <c r="L18" s="9"/>
      <c r="M18" s="9"/>
      <c r="N18" s="9"/>
      <c r="O18" s="9"/>
      <c r="P18" s="9"/>
      <c r="Q18" s="9"/>
      <c r="R18" s="9"/>
    </row>
    <row r="19" spans="1:18" ht="15" thickBot="1">
      <c r="A19" s="42" t="s">
        <v>203</v>
      </c>
      <c r="B19" s="43">
        <v>2895.3</v>
      </c>
      <c r="C19" s="9"/>
      <c r="D19" s="9"/>
      <c r="E19" s="9"/>
      <c r="F19" s="9"/>
      <c r="G19" s="40" t="s">
        <v>103</v>
      </c>
      <c r="H19" s="51">
        <v>12.091615786502095</v>
      </c>
      <c r="I19" s="44">
        <v>2725.95</v>
      </c>
      <c r="J19" s="9"/>
      <c r="K19" s="9"/>
      <c r="L19" s="9"/>
      <c r="M19" s="9"/>
      <c r="N19" s="9"/>
      <c r="O19" s="9"/>
      <c r="P19" s="9"/>
      <c r="Q19" s="9"/>
      <c r="R19" s="9"/>
    </row>
    <row r="20" spans="1:18">
      <c r="A20" s="9"/>
      <c r="B20" s="9"/>
      <c r="C20" s="9"/>
      <c r="D20" s="9"/>
      <c r="E20" s="9"/>
      <c r="F20" s="9"/>
      <c r="G20" s="40" t="s">
        <v>119</v>
      </c>
      <c r="H20" s="51">
        <v>4.9147454545454545</v>
      </c>
      <c r="I20" s="44">
        <v>1530.25</v>
      </c>
      <c r="J20" s="9"/>
      <c r="K20" s="9"/>
      <c r="L20" s="9"/>
      <c r="M20" s="9"/>
      <c r="N20" s="9"/>
      <c r="O20" s="9"/>
      <c r="P20" s="9"/>
      <c r="Q20" s="9"/>
      <c r="R20" s="9"/>
    </row>
    <row r="21" spans="1:18">
      <c r="A21" s="9"/>
      <c r="B21" s="9"/>
      <c r="C21" s="9"/>
      <c r="D21" s="9"/>
      <c r="E21" s="9"/>
      <c r="F21" s="9"/>
      <c r="G21" s="40" t="s">
        <v>100</v>
      </c>
      <c r="H21" s="51">
        <v>21.427</v>
      </c>
      <c r="I21" s="44">
        <v>2307.3000000000002</v>
      </c>
      <c r="J21" s="9"/>
      <c r="K21" s="9"/>
      <c r="L21" s="9"/>
      <c r="M21" s="9"/>
      <c r="N21" s="9"/>
      <c r="O21" s="9"/>
      <c r="P21" s="9"/>
      <c r="Q21" s="9"/>
      <c r="R21" s="9"/>
    </row>
    <row r="22" spans="1:18">
      <c r="A22" s="9"/>
      <c r="B22" s="9"/>
      <c r="C22" s="9"/>
      <c r="D22" s="9"/>
      <c r="E22" s="9"/>
      <c r="F22" s="9"/>
      <c r="G22" s="40" t="s">
        <v>33</v>
      </c>
      <c r="H22" s="51">
        <v>8.4905592636374116</v>
      </c>
      <c r="I22" s="44">
        <v>3302.7</v>
      </c>
      <c r="J22" s="9"/>
      <c r="K22" s="9"/>
      <c r="L22" s="9"/>
      <c r="M22" s="9"/>
      <c r="N22" s="9"/>
      <c r="O22" s="9"/>
      <c r="P22" s="9"/>
      <c r="Q22" s="9"/>
      <c r="R22" s="9"/>
    </row>
    <row r="23" spans="1:18">
      <c r="A23" s="9"/>
      <c r="B23" s="9"/>
      <c r="C23" s="9"/>
      <c r="D23" s="9"/>
      <c r="E23" s="9"/>
      <c r="F23" s="9"/>
      <c r="G23" s="40" t="s">
        <v>112</v>
      </c>
      <c r="H23" s="51">
        <v>10.380724114207087</v>
      </c>
      <c r="I23" s="44">
        <v>2774.55</v>
      </c>
      <c r="J23" s="9"/>
      <c r="K23" s="9"/>
      <c r="L23" s="9"/>
      <c r="M23" s="9"/>
      <c r="N23" s="9"/>
      <c r="O23" s="9"/>
      <c r="P23" s="9"/>
      <c r="Q23" s="9"/>
      <c r="R23" s="9"/>
    </row>
    <row r="24" spans="1:18" ht="15" thickBot="1">
      <c r="A24" s="9"/>
      <c r="B24" s="9"/>
      <c r="C24" s="9"/>
      <c r="D24" s="9"/>
      <c r="E24" s="9"/>
      <c r="F24" s="9"/>
      <c r="G24" s="42" t="s">
        <v>21</v>
      </c>
      <c r="H24" s="52">
        <v>10.282892844591322</v>
      </c>
      <c r="I24" s="45">
        <v>4917.45</v>
      </c>
      <c r="J24" s="9"/>
      <c r="K24" s="9"/>
      <c r="L24" s="9"/>
      <c r="M24" s="9"/>
      <c r="N24" s="9"/>
      <c r="O24" s="9"/>
      <c r="P24" s="9"/>
      <c r="Q24" s="9"/>
      <c r="R24" s="9"/>
    </row>
    <row r="25" spans="1:18">
      <c r="A25" s="9"/>
      <c r="B25" s="9"/>
      <c r="C25" s="9"/>
      <c r="D25" s="9"/>
      <c r="E25" s="9"/>
      <c r="F25" s="9"/>
      <c r="G25" s="9"/>
      <c r="H25" s="9"/>
      <c r="I25" s="9"/>
      <c r="J25" s="9"/>
      <c r="K25" s="9"/>
      <c r="L25" s="9"/>
      <c r="M25" s="9"/>
      <c r="N25" s="9"/>
      <c r="O25" s="9"/>
      <c r="P25" s="9"/>
      <c r="Q25" s="9"/>
      <c r="R25" s="9"/>
    </row>
    <row r="26" spans="1:18">
      <c r="A26" s="9"/>
      <c r="B26" s="9"/>
      <c r="C26" s="9"/>
      <c r="D26" s="9"/>
      <c r="E26" s="9"/>
      <c r="F26" s="9"/>
      <c r="G26" s="9"/>
      <c r="H26" s="9"/>
      <c r="I26" s="9"/>
      <c r="J26" s="9"/>
      <c r="K26" s="9"/>
      <c r="L26" s="9"/>
      <c r="M26" s="9"/>
      <c r="N26" s="9"/>
      <c r="O26" s="9"/>
      <c r="P26" s="9"/>
      <c r="Q26" s="9"/>
      <c r="R26" s="9"/>
    </row>
    <row r="27" spans="1:18">
      <c r="A27" s="9"/>
      <c r="B27" s="9"/>
      <c r="C27" s="9"/>
      <c r="D27" s="9"/>
      <c r="E27" s="9"/>
      <c r="F27" s="9"/>
      <c r="G27" s="9"/>
      <c r="H27" s="9"/>
      <c r="I27" s="9"/>
      <c r="J27" s="9"/>
      <c r="K27" s="9"/>
      <c r="L27" s="9"/>
      <c r="M27" s="9"/>
      <c r="N27" s="9"/>
      <c r="O27" s="9"/>
      <c r="P27" s="9"/>
      <c r="Q27" s="9"/>
      <c r="R27" s="9"/>
    </row>
    <row r="28" spans="1:18">
      <c r="A28" s="9"/>
      <c r="B28" s="9"/>
      <c r="C28" s="9"/>
      <c r="D28" s="9"/>
      <c r="E28" s="9"/>
      <c r="F28" s="9"/>
      <c r="G28" s="9"/>
      <c r="H28" s="9"/>
      <c r="I28" s="9"/>
      <c r="J28" s="9"/>
      <c r="K28" s="9"/>
      <c r="L28" s="9"/>
      <c r="M28" s="9"/>
      <c r="N28" s="9"/>
      <c r="O28" s="9"/>
      <c r="P28" s="9"/>
      <c r="Q28" s="9"/>
      <c r="R28" s="9"/>
    </row>
    <row r="29" spans="1:18">
      <c r="A29" s="9"/>
      <c r="B29" s="9"/>
      <c r="C29" s="9"/>
      <c r="D29" s="9"/>
      <c r="E29" s="9"/>
      <c r="F29" s="9"/>
      <c r="G29" s="9"/>
      <c r="H29" s="9"/>
      <c r="I29" s="9"/>
      <c r="J29" s="9"/>
      <c r="K29" s="9"/>
      <c r="L29" s="9"/>
      <c r="M29" s="9"/>
      <c r="N29" s="9"/>
      <c r="O29" s="9"/>
      <c r="P29" s="9"/>
      <c r="Q29" s="9"/>
      <c r="R29" s="9"/>
    </row>
    <row r="30" spans="1:18">
      <c r="A30" s="9"/>
      <c r="B30" s="9"/>
      <c r="C30" s="9"/>
      <c r="D30" s="9"/>
      <c r="E30" s="9"/>
      <c r="F30" s="9"/>
      <c r="G30" s="9"/>
      <c r="H30" s="9"/>
      <c r="I30" s="9"/>
      <c r="J30" s="9"/>
      <c r="K30" s="9"/>
      <c r="L30" s="9"/>
      <c r="M30" s="9"/>
      <c r="N30" s="9"/>
      <c r="O30" s="9"/>
      <c r="P30" s="9"/>
      <c r="Q30" s="9"/>
      <c r="R30" s="9"/>
    </row>
    <row r="31" spans="1:18">
      <c r="A31" s="9"/>
      <c r="B31" s="9"/>
      <c r="C31" s="9"/>
      <c r="D31" s="9"/>
      <c r="E31" s="9"/>
      <c r="F31" s="9"/>
      <c r="G31" s="9"/>
      <c r="H31" s="9"/>
      <c r="I31" s="9"/>
      <c r="J31" s="9"/>
      <c r="K31" s="9"/>
      <c r="L31" s="9"/>
      <c r="M31" s="9"/>
      <c r="N31" s="9"/>
      <c r="O31" s="9"/>
      <c r="P31" s="9"/>
      <c r="Q31" s="9"/>
      <c r="R31" s="9"/>
    </row>
    <row r="32" spans="1:18" ht="15" thickBot="1">
      <c r="A32" s="9"/>
      <c r="B32" s="9"/>
      <c r="C32" s="9"/>
      <c r="D32" s="9"/>
      <c r="E32" s="9"/>
      <c r="F32" s="9"/>
      <c r="G32" s="9"/>
      <c r="H32" s="9"/>
      <c r="I32" s="9"/>
      <c r="J32" s="9"/>
      <c r="K32" s="9"/>
      <c r="L32" s="9"/>
      <c r="M32" s="9"/>
      <c r="N32" s="9"/>
      <c r="O32" s="9"/>
      <c r="P32" s="9"/>
      <c r="Q32" s="9"/>
      <c r="R32" s="9"/>
    </row>
    <row r="33" spans="1:18">
      <c r="A33" s="9"/>
      <c r="B33" s="9"/>
      <c r="C33" s="9"/>
      <c r="D33" s="9"/>
      <c r="E33" s="9"/>
      <c r="F33" s="9"/>
      <c r="G33" s="9"/>
      <c r="H33" s="9"/>
      <c r="I33" s="9"/>
      <c r="J33" s="9"/>
      <c r="K33" s="9"/>
      <c r="L33" s="9"/>
      <c r="M33" s="9"/>
      <c r="N33" s="9"/>
      <c r="O33" s="9"/>
      <c r="P33" s="9"/>
      <c r="Q33" s="9"/>
      <c r="R33" s="9"/>
    </row>
    <row r="34" spans="1:18">
      <c r="A34" s="9"/>
      <c r="B34" s="9"/>
      <c r="C34" s="9"/>
      <c r="D34" s="9"/>
      <c r="E34" s="9"/>
      <c r="F34" s="9"/>
      <c r="G34" s="9"/>
      <c r="H34" s="9"/>
      <c r="I34" s="9"/>
      <c r="J34" s="9"/>
      <c r="K34" s="9"/>
      <c r="L34" s="9"/>
      <c r="M34" s="9"/>
      <c r="N34" s="9"/>
      <c r="O34" s="9"/>
      <c r="P34" s="9"/>
      <c r="Q34" s="9"/>
      <c r="R34" s="9"/>
    </row>
    <row r="35" spans="1:18">
      <c r="A35" s="9"/>
      <c r="B35" s="9"/>
      <c r="C35" s="9"/>
      <c r="D35" s="9"/>
      <c r="E35" s="9"/>
      <c r="F35" s="9"/>
      <c r="G35" s="9"/>
      <c r="H35" s="9"/>
      <c r="I35" s="9"/>
      <c r="J35" s="9"/>
      <c r="K35" s="9"/>
      <c r="L35" s="9"/>
      <c r="M35" s="9"/>
      <c r="N35" s="9"/>
      <c r="O35" s="9"/>
      <c r="P35" s="9"/>
      <c r="Q35" s="9"/>
      <c r="R35" s="9"/>
    </row>
    <row r="36" spans="1:18">
      <c r="A36" s="9"/>
      <c r="B36" s="9"/>
      <c r="C36" s="9"/>
      <c r="D36" s="9"/>
      <c r="E36" s="9"/>
      <c r="F36" s="9"/>
      <c r="G36" s="9"/>
      <c r="H36" s="9"/>
      <c r="I36" s="9"/>
      <c r="J36" s="9"/>
      <c r="K36" s="9"/>
      <c r="L36" s="9"/>
      <c r="M36" s="9"/>
      <c r="N36" s="9"/>
      <c r="O36" s="9"/>
      <c r="P36" s="9"/>
      <c r="Q36" s="9"/>
      <c r="R36" s="9"/>
    </row>
  </sheetData>
  <mergeCells count="6">
    <mergeCell ref="A4:B5"/>
    <mergeCell ref="A3:B3"/>
    <mergeCell ref="D4:D5"/>
    <mergeCell ref="F4:F5"/>
    <mergeCell ref="A1:R2"/>
    <mergeCell ref="I4:I5"/>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showGridLines="0" zoomScaleNormal="100" workbookViewId="0">
      <selection activeCell="D10" sqref="D10"/>
    </sheetView>
  </sheetViews>
  <sheetFormatPr defaultRowHeight="14.5"/>
  <cols>
    <col min="1" max="1" width="61.36328125" customWidth="1"/>
  </cols>
  <sheetData>
    <row r="1" spans="1:5">
      <c r="A1" s="30" t="s">
        <v>228</v>
      </c>
      <c r="B1" s="32"/>
      <c r="C1" s="32"/>
      <c r="D1" s="32"/>
      <c r="E1" s="32"/>
    </row>
    <row r="2" spans="1:5">
      <c r="A2" s="33"/>
      <c r="B2" s="28"/>
      <c r="C2" s="28"/>
      <c r="D2" s="28"/>
      <c r="E2" s="28"/>
    </row>
    <row r="3" spans="1:5">
      <c r="A3" s="34" t="s">
        <v>229</v>
      </c>
      <c r="B3" s="4"/>
    </row>
    <row r="4" spans="1:5" s="31" customFormat="1" ht="43.5">
      <c r="A4" s="35" t="s">
        <v>230</v>
      </c>
    </row>
    <row r="5" spans="1:5">
      <c r="A5" s="33"/>
    </row>
    <row r="6" spans="1:5">
      <c r="A6" s="34" t="s">
        <v>231</v>
      </c>
      <c r="B6" s="4"/>
    </row>
    <row r="7" spans="1:5">
      <c r="A7" s="36" t="s">
        <v>232</v>
      </c>
    </row>
    <row r="8" spans="1:5">
      <c r="A8" s="36" t="s">
        <v>233</v>
      </c>
    </row>
    <row r="9" spans="1:5">
      <c r="A9" s="36" t="s">
        <v>234</v>
      </c>
    </row>
    <row r="10" spans="1:5">
      <c r="A10" s="33"/>
    </row>
    <row r="11" spans="1:5">
      <c r="A11" s="34" t="s">
        <v>235</v>
      </c>
    </row>
    <row r="12" spans="1:5">
      <c r="A12" s="33" t="s">
        <v>236</v>
      </c>
    </row>
    <row r="13" spans="1:5">
      <c r="A13" s="33" t="s">
        <v>237</v>
      </c>
    </row>
    <row r="14" spans="1:5">
      <c r="A14" s="33" t="s">
        <v>238</v>
      </c>
    </row>
    <row r="15" spans="1:5">
      <c r="A15" s="33" t="s">
        <v>239</v>
      </c>
    </row>
    <row r="16" spans="1:5">
      <c r="A16" s="33" t="s">
        <v>240</v>
      </c>
    </row>
    <row r="17" spans="1:2">
      <c r="A17" s="33" t="s">
        <v>241</v>
      </c>
    </row>
    <row r="18" spans="1:2">
      <c r="A18" s="33"/>
    </row>
    <row r="19" spans="1:2">
      <c r="A19" s="34" t="s">
        <v>242</v>
      </c>
      <c r="B19" s="29"/>
    </row>
    <row r="20" spans="1:2">
      <c r="A20" s="33" t="s">
        <v>243</v>
      </c>
    </row>
    <row r="21" spans="1:2">
      <c r="A21" s="33" t="s">
        <v>244</v>
      </c>
    </row>
    <row r="22" spans="1:2">
      <c r="A22" s="33" t="s">
        <v>245</v>
      </c>
    </row>
    <row r="23" spans="1:2">
      <c r="A23" s="33" t="s">
        <v>246</v>
      </c>
    </row>
    <row r="24" spans="1:2">
      <c r="A24" s="33"/>
    </row>
    <row r="25" spans="1:2">
      <c r="A25" s="34" t="s">
        <v>247</v>
      </c>
    </row>
    <row r="26" spans="1:2">
      <c r="A26" s="33" t="s">
        <v>248</v>
      </c>
    </row>
    <row r="27" spans="1:2">
      <c r="A27" s="33" t="s">
        <v>249</v>
      </c>
    </row>
    <row r="28" spans="1:2">
      <c r="A28" s="33" t="s">
        <v>250</v>
      </c>
    </row>
    <row r="29" spans="1:2">
      <c r="A29" s="33" t="s">
        <v>251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Sales_Data</vt:lpstr>
      <vt:lpstr>Targets</vt:lpstr>
      <vt:lpstr>Incentive</vt:lpstr>
      <vt:lpstr>Incentive summary</vt:lpstr>
      <vt:lpstr>dashboard</vt:lpstr>
      <vt:lpstr>Read me</vt:lpstr>
      <vt:lpstr>dashboard!Print_Area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2025-12-17T15:19:16Z</dcterms:created>
  <dcterms:modified xsi:type="dcterms:W3CDTF">2026-08-31T15:24:24Z</dcterms:modified>
</cp:coreProperties>
</file>